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ago Poy\Google Drive\13. Docencia de Posgrado\Curso Doctorado UBA Pobreza y Desigualdad 2024\Planificaciones\Clase 1 Indicadores Desigualdad\"/>
    </mc:Choice>
  </mc:AlternateContent>
  <xr:revisionPtr revIDLastSave="0" documentId="13_ncr:1_{7EFE286D-6ACE-46A3-AE51-8CC6EB208EDC}" xr6:coauthVersionLast="47" xr6:coauthVersionMax="47" xr10:uidLastSave="{00000000-0000-0000-0000-000000000000}"/>
  <bookViews>
    <workbookView xWindow="-120" yWindow="-120" windowWidth="29040" windowHeight="15225" activeTab="2" xr2:uid="{00000000-000D-0000-FFFF-FFFF00000000}"/>
  </bookViews>
  <sheets>
    <sheet name="Descriptivas ingreso" sheetId="11" r:id="rId1"/>
    <sheet name="Cálculo Gini" sheetId="10" r:id="rId2"/>
    <sheet name="Simulaciones Gini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2" l="1"/>
  <c r="N100" i="10"/>
  <c r="N5" i="10"/>
  <c r="O5" i="10" s="1"/>
  <c r="D4" i="12"/>
  <c r="D3" i="12"/>
  <c r="N4" i="10"/>
  <c r="O4" i="10" s="1"/>
  <c r="N3" i="10"/>
  <c r="O3" i="10" s="1"/>
  <c r="N2" i="10"/>
  <c r="D2" i="12"/>
  <c r="F2" i="12" s="1"/>
  <c r="O2" i="10"/>
  <c r="E101" i="12"/>
  <c r="G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G9" i="12"/>
  <c r="F9" i="12"/>
  <c r="G8" i="12"/>
  <c r="F8" i="12"/>
  <c r="G7" i="12"/>
  <c r="F7" i="12"/>
  <c r="G6" i="12"/>
  <c r="F6" i="12"/>
  <c r="G5" i="12"/>
  <c r="F5" i="12"/>
  <c r="G4" i="12"/>
  <c r="F4" i="12"/>
  <c r="G3" i="12"/>
  <c r="F3" i="12"/>
  <c r="I2" i="12"/>
  <c r="G2" i="12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L3" i="11"/>
  <c r="L14" i="11" s="1"/>
  <c r="L12" i="11"/>
  <c r="D14" i="11"/>
  <c r="D5" i="11"/>
  <c r="E101" i="10"/>
  <c r="G16" i="10" s="1"/>
  <c r="M100" i="10" l="1"/>
  <c r="D100" i="12" s="1"/>
  <c r="F100" i="12" s="1"/>
  <c r="F101" i="12" s="1"/>
  <c r="I3" i="12"/>
  <c r="G79" i="10"/>
  <c r="G88" i="10"/>
  <c r="G8" i="10"/>
  <c r="F101" i="10"/>
  <c r="H93" i="10" s="1"/>
  <c r="G56" i="10"/>
  <c r="G47" i="10"/>
  <c r="G72" i="10"/>
  <c r="G40" i="10"/>
  <c r="G95" i="10"/>
  <c r="G63" i="10"/>
  <c r="G5" i="10"/>
  <c r="G3" i="10"/>
  <c r="G11" i="10"/>
  <c r="G19" i="10"/>
  <c r="G27" i="10"/>
  <c r="G35" i="10"/>
  <c r="G43" i="10"/>
  <c r="G51" i="10"/>
  <c r="G59" i="10"/>
  <c r="G67" i="10"/>
  <c r="G75" i="10"/>
  <c r="G83" i="10"/>
  <c r="G91" i="10"/>
  <c r="G99" i="10"/>
  <c r="G15" i="10"/>
  <c r="G31" i="10"/>
  <c r="G4" i="10"/>
  <c r="G12" i="10"/>
  <c r="G20" i="10"/>
  <c r="G28" i="10"/>
  <c r="G36" i="10"/>
  <c r="G44" i="10"/>
  <c r="G52" i="10"/>
  <c r="G60" i="10"/>
  <c r="G68" i="10"/>
  <c r="G76" i="10"/>
  <c r="G84" i="10"/>
  <c r="G92" i="10"/>
  <c r="G100" i="10"/>
  <c r="G7" i="10"/>
  <c r="G23" i="10"/>
  <c r="G39" i="10"/>
  <c r="G87" i="10"/>
  <c r="G71" i="10"/>
  <c r="G55" i="10"/>
  <c r="G32" i="10"/>
  <c r="G96" i="10"/>
  <c r="G80" i="10"/>
  <c r="G64" i="10"/>
  <c r="G48" i="10"/>
  <c r="G24" i="10"/>
  <c r="G2" i="10"/>
  <c r="I2" i="10" s="1"/>
  <c r="G98" i="10"/>
  <c r="G94" i="10"/>
  <c r="G90" i="10"/>
  <c r="G86" i="10"/>
  <c r="G82" i="10"/>
  <c r="G78" i="10"/>
  <c r="G74" i="10"/>
  <c r="G70" i="10"/>
  <c r="G66" i="10"/>
  <c r="G62" i="10"/>
  <c r="G58" i="10"/>
  <c r="G54" i="10"/>
  <c r="G50" i="10"/>
  <c r="G46" i="10"/>
  <c r="G42" i="10"/>
  <c r="G38" i="10"/>
  <c r="G34" i="10"/>
  <c r="G30" i="10"/>
  <c r="G26" i="10"/>
  <c r="G22" i="10"/>
  <c r="G18" i="10"/>
  <c r="G14" i="10"/>
  <c r="G10" i="10"/>
  <c r="G6" i="10"/>
  <c r="G97" i="10"/>
  <c r="G93" i="10"/>
  <c r="G89" i="10"/>
  <c r="G85" i="10"/>
  <c r="G81" i="10"/>
  <c r="G77" i="10"/>
  <c r="G73" i="10"/>
  <c r="G69" i="10"/>
  <c r="G65" i="10"/>
  <c r="G61" i="10"/>
  <c r="G57" i="10"/>
  <c r="G53" i="10"/>
  <c r="G49" i="10"/>
  <c r="G45" i="10"/>
  <c r="G41" i="10"/>
  <c r="G37" i="10"/>
  <c r="G33" i="10"/>
  <c r="G29" i="10"/>
  <c r="G25" i="10"/>
  <c r="G21" i="10"/>
  <c r="G17" i="10"/>
  <c r="G13" i="10"/>
  <c r="G9" i="10"/>
  <c r="H76" i="12" l="1"/>
  <c r="H86" i="12"/>
  <c r="H48" i="12"/>
  <c r="H12" i="12"/>
  <c r="H10" i="12"/>
  <c r="H27" i="12"/>
  <c r="H43" i="12"/>
  <c r="H59" i="12"/>
  <c r="H75" i="12"/>
  <c r="H91" i="12"/>
  <c r="H68" i="12"/>
  <c r="H13" i="12"/>
  <c r="H35" i="12"/>
  <c r="H67" i="12"/>
  <c r="H99" i="12"/>
  <c r="H94" i="12"/>
  <c r="H6" i="12"/>
  <c r="H37" i="12"/>
  <c r="H53" i="12"/>
  <c r="H85" i="12"/>
  <c r="H78" i="12"/>
  <c r="H34" i="12"/>
  <c r="H9" i="12"/>
  <c r="H29" i="12"/>
  <c r="H45" i="12"/>
  <c r="H61" i="12"/>
  <c r="H77" i="12"/>
  <c r="H93" i="12"/>
  <c r="H22" i="12"/>
  <c r="H20" i="12"/>
  <c r="H19" i="12"/>
  <c r="H51" i="12"/>
  <c r="H83" i="12"/>
  <c r="H56" i="12"/>
  <c r="H8" i="12"/>
  <c r="H21" i="12"/>
  <c r="H69" i="12"/>
  <c r="H42" i="12"/>
  <c r="H7" i="12"/>
  <c r="H11" i="12"/>
  <c r="H89" i="12"/>
  <c r="H73" i="12"/>
  <c r="H57" i="12"/>
  <c r="H49" i="12"/>
  <c r="H41" i="12"/>
  <c r="H33" i="12"/>
  <c r="H25" i="12"/>
  <c r="H2" i="12"/>
  <c r="J2" i="12" s="1"/>
  <c r="K2" i="12" s="1"/>
  <c r="H4" i="12"/>
  <c r="H40" i="12"/>
  <c r="H62" i="12"/>
  <c r="H82" i="12"/>
  <c r="H60" i="12"/>
  <c r="H28" i="12"/>
  <c r="H36" i="12"/>
  <c r="H50" i="12"/>
  <c r="H58" i="12"/>
  <c r="H70" i="12"/>
  <c r="H80" i="12"/>
  <c r="H88" i="12"/>
  <c r="H96" i="12"/>
  <c r="H24" i="12"/>
  <c r="H44" i="12"/>
  <c r="H97" i="12"/>
  <c r="H81" i="12"/>
  <c r="H65" i="12"/>
  <c r="H5" i="12"/>
  <c r="H30" i="12"/>
  <c r="H52" i="12"/>
  <c r="H72" i="12"/>
  <c r="H90" i="12"/>
  <c r="H98" i="12"/>
  <c r="H26" i="12"/>
  <c r="H15" i="12"/>
  <c r="H95" i="12"/>
  <c r="H87" i="12"/>
  <c r="H79" i="12"/>
  <c r="H71" i="12"/>
  <c r="H63" i="12"/>
  <c r="H55" i="12"/>
  <c r="H47" i="12"/>
  <c r="H39" i="12"/>
  <c r="H31" i="12"/>
  <c r="H23" i="12"/>
  <c r="H14" i="12"/>
  <c r="H17" i="12"/>
  <c r="H16" i="12"/>
  <c r="H18" i="12"/>
  <c r="H32" i="12"/>
  <c r="H46" i="12"/>
  <c r="H54" i="12"/>
  <c r="H66" i="12"/>
  <c r="H74" i="12"/>
  <c r="H84" i="12"/>
  <c r="H92" i="12"/>
  <c r="H100" i="12"/>
  <c r="H38" i="12"/>
  <c r="H64" i="12"/>
  <c r="H3" i="12"/>
  <c r="I4" i="12"/>
  <c r="H24" i="10"/>
  <c r="H42" i="10"/>
  <c r="H58" i="10"/>
  <c r="H56" i="10"/>
  <c r="H10" i="10"/>
  <c r="H74" i="10"/>
  <c r="H13" i="10"/>
  <c r="H9" i="10"/>
  <c r="H26" i="10"/>
  <c r="H90" i="10"/>
  <c r="H45" i="10"/>
  <c r="H2" i="10"/>
  <c r="J2" i="10" s="1"/>
  <c r="K2" i="10" s="1"/>
  <c r="H59" i="10"/>
  <c r="H21" i="10"/>
  <c r="H63" i="10"/>
  <c r="H83" i="10"/>
  <c r="H19" i="10"/>
  <c r="H75" i="10"/>
  <c r="H27" i="10"/>
  <c r="H79" i="10"/>
  <c r="H20" i="10"/>
  <c r="H71" i="10"/>
  <c r="H7" i="10"/>
  <c r="H81" i="10"/>
  <c r="H14" i="10"/>
  <c r="H46" i="10"/>
  <c r="H78" i="10"/>
  <c r="H12" i="10"/>
  <c r="H17" i="10"/>
  <c r="H44" i="10"/>
  <c r="H91" i="10"/>
  <c r="H11" i="10"/>
  <c r="H67" i="10"/>
  <c r="H64" i="10"/>
  <c r="H16" i="10"/>
  <c r="H15" i="10"/>
  <c r="H6" i="10"/>
  <c r="H89" i="10"/>
  <c r="H18" i="10"/>
  <c r="H34" i="10"/>
  <c r="H50" i="10"/>
  <c r="H66" i="10"/>
  <c r="H82" i="10"/>
  <c r="H98" i="10"/>
  <c r="H28" i="10"/>
  <c r="H88" i="10"/>
  <c r="H25" i="10"/>
  <c r="H61" i="10"/>
  <c r="H60" i="10"/>
  <c r="H41" i="10"/>
  <c r="H80" i="10"/>
  <c r="H37" i="10"/>
  <c r="H95" i="10"/>
  <c r="H31" i="10"/>
  <c r="H51" i="10"/>
  <c r="H96" i="10"/>
  <c r="H53" i="10"/>
  <c r="H5" i="10"/>
  <c r="H52" i="10"/>
  <c r="H4" i="10"/>
  <c r="H39" i="10"/>
  <c r="H97" i="10"/>
  <c r="H77" i="10"/>
  <c r="H30" i="10"/>
  <c r="H62" i="10"/>
  <c r="H94" i="10"/>
  <c r="H72" i="10"/>
  <c r="H49" i="10"/>
  <c r="H29" i="10"/>
  <c r="H48" i="10"/>
  <c r="H47" i="10"/>
  <c r="H3" i="10"/>
  <c r="J3" i="10" s="1"/>
  <c r="J4" i="10" s="1"/>
  <c r="H68" i="10"/>
  <c r="H55" i="10"/>
  <c r="H65" i="10"/>
  <c r="H22" i="10"/>
  <c r="H38" i="10"/>
  <c r="H54" i="10"/>
  <c r="H70" i="10"/>
  <c r="H86" i="10"/>
  <c r="H40" i="10"/>
  <c r="H92" i="10"/>
  <c r="H33" i="10"/>
  <c r="H8" i="10"/>
  <c r="H76" i="10"/>
  <c r="H57" i="10"/>
  <c r="H69" i="10"/>
  <c r="H32" i="10"/>
  <c r="H84" i="10"/>
  <c r="H99" i="10"/>
  <c r="H35" i="10"/>
  <c r="H85" i="10"/>
  <c r="H43" i="10"/>
  <c r="H100" i="10"/>
  <c r="H36" i="10"/>
  <c r="H87" i="10"/>
  <c r="H23" i="10"/>
  <c r="H73" i="10"/>
  <c r="I3" i="10"/>
  <c r="J3" i="12" l="1"/>
  <c r="K3" i="12" s="1"/>
  <c r="I5" i="12"/>
  <c r="J5" i="10"/>
  <c r="J6" i="10" s="1"/>
  <c r="J7" i="10" s="1"/>
  <c r="J8" i="10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K3" i="10"/>
  <c r="I4" i="10"/>
  <c r="K4" i="10" s="1"/>
  <c r="J4" i="12" l="1"/>
  <c r="I6" i="12"/>
  <c r="I5" i="10"/>
  <c r="K5" i="10" s="1"/>
  <c r="I6" i="10"/>
  <c r="J5" i="12" l="1"/>
  <c r="K4" i="12"/>
  <c r="I7" i="12"/>
  <c r="K6" i="10"/>
  <c r="I7" i="10"/>
  <c r="J6" i="12" l="1"/>
  <c r="K5" i="12"/>
  <c r="I8" i="12"/>
  <c r="I8" i="10"/>
  <c r="K7" i="10"/>
  <c r="J7" i="12" l="1"/>
  <c r="K6" i="12"/>
  <c r="I9" i="12"/>
  <c r="I9" i="10"/>
  <c r="K8" i="10"/>
  <c r="J8" i="12" l="1"/>
  <c r="K7" i="12"/>
  <c r="I10" i="12"/>
  <c r="I10" i="10"/>
  <c r="K9" i="10"/>
  <c r="J9" i="12" l="1"/>
  <c r="K8" i="12"/>
  <c r="I11" i="12"/>
  <c r="I11" i="10"/>
  <c r="K10" i="10"/>
  <c r="J10" i="12" l="1"/>
  <c r="K9" i="12"/>
  <c r="I12" i="12"/>
  <c r="I12" i="10"/>
  <c r="K11" i="10"/>
  <c r="J11" i="12" l="1"/>
  <c r="K10" i="12"/>
  <c r="I13" i="12"/>
  <c r="I13" i="10"/>
  <c r="K12" i="10"/>
  <c r="J12" i="12" l="1"/>
  <c r="K11" i="12"/>
  <c r="I14" i="12"/>
  <c r="I14" i="10"/>
  <c r="K13" i="10"/>
  <c r="J13" i="12" l="1"/>
  <c r="K12" i="12"/>
  <c r="I15" i="12"/>
  <c r="I15" i="10"/>
  <c r="K14" i="10"/>
  <c r="J14" i="12" l="1"/>
  <c r="K13" i="12"/>
  <c r="I16" i="12"/>
  <c r="I16" i="10"/>
  <c r="K15" i="10"/>
  <c r="J15" i="12" l="1"/>
  <c r="K14" i="12"/>
  <c r="I17" i="12"/>
  <c r="I17" i="10"/>
  <c r="K16" i="10"/>
  <c r="J16" i="12" l="1"/>
  <c r="K15" i="12"/>
  <c r="I18" i="12"/>
  <c r="I18" i="10"/>
  <c r="K17" i="10"/>
  <c r="J17" i="12" l="1"/>
  <c r="K16" i="12"/>
  <c r="I19" i="12"/>
  <c r="I19" i="10"/>
  <c r="K18" i="10"/>
  <c r="J18" i="12" l="1"/>
  <c r="K17" i="12"/>
  <c r="I20" i="12"/>
  <c r="I20" i="10"/>
  <c r="K19" i="10"/>
  <c r="J19" i="12" l="1"/>
  <c r="K18" i="12"/>
  <c r="I21" i="12"/>
  <c r="I21" i="10"/>
  <c r="K20" i="10"/>
  <c r="J20" i="12" l="1"/>
  <c r="K19" i="12"/>
  <c r="I22" i="12"/>
  <c r="I22" i="10"/>
  <c r="K21" i="10"/>
  <c r="J21" i="12" l="1"/>
  <c r="K20" i="12"/>
  <c r="I23" i="12"/>
  <c r="I23" i="10"/>
  <c r="K22" i="10"/>
  <c r="J22" i="12" l="1"/>
  <c r="K21" i="12"/>
  <c r="I24" i="12"/>
  <c r="I24" i="10"/>
  <c r="K23" i="10"/>
  <c r="J23" i="12" l="1"/>
  <c r="K22" i="12"/>
  <c r="I25" i="12"/>
  <c r="I25" i="10"/>
  <c r="K24" i="10"/>
  <c r="J24" i="12" l="1"/>
  <c r="K23" i="12"/>
  <c r="I26" i="12"/>
  <c r="I26" i="10"/>
  <c r="K25" i="10"/>
  <c r="J25" i="12" l="1"/>
  <c r="K24" i="12"/>
  <c r="I27" i="12"/>
  <c r="I27" i="10"/>
  <c r="K26" i="10"/>
  <c r="J26" i="12" l="1"/>
  <c r="K25" i="12"/>
  <c r="I28" i="12"/>
  <c r="I28" i="10"/>
  <c r="K27" i="10"/>
  <c r="J27" i="12" l="1"/>
  <c r="K26" i="12"/>
  <c r="I29" i="12"/>
  <c r="I29" i="10"/>
  <c r="K28" i="10"/>
  <c r="J28" i="12" l="1"/>
  <c r="K27" i="12"/>
  <c r="I30" i="12"/>
  <c r="I30" i="10"/>
  <c r="K29" i="10"/>
  <c r="J29" i="12" l="1"/>
  <c r="K28" i="12"/>
  <c r="I31" i="12"/>
  <c r="I31" i="10"/>
  <c r="K30" i="10"/>
  <c r="J30" i="12" l="1"/>
  <c r="K29" i="12"/>
  <c r="I32" i="12"/>
  <c r="I32" i="10"/>
  <c r="K31" i="10"/>
  <c r="J31" i="12" l="1"/>
  <c r="K30" i="12"/>
  <c r="I33" i="12"/>
  <c r="I33" i="10"/>
  <c r="K32" i="10"/>
  <c r="J32" i="12" l="1"/>
  <c r="K31" i="12"/>
  <c r="I34" i="12"/>
  <c r="I34" i="10"/>
  <c r="K33" i="10"/>
  <c r="J33" i="12" l="1"/>
  <c r="K32" i="12"/>
  <c r="I35" i="12"/>
  <c r="I35" i="10"/>
  <c r="K34" i="10"/>
  <c r="J34" i="12" l="1"/>
  <c r="K33" i="12"/>
  <c r="I36" i="12"/>
  <c r="I36" i="10"/>
  <c r="K35" i="10"/>
  <c r="J35" i="12" l="1"/>
  <c r="K34" i="12"/>
  <c r="I37" i="12"/>
  <c r="I37" i="10"/>
  <c r="K36" i="10"/>
  <c r="J36" i="12" l="1"/>
  <c r="K35" i="12"/>
  <c r="I38" i="12"/>
  <c r="I38" i="10"/>
  <c r="K37" i="10"/>
  <c r="J37" i="12" l="1"/>
  <c r="K36" i="12"/>
  <c r="I39" i="12"/>
  <c r="I39" i="10"/>
  <c r="K38" i="10"/>
  <c r="J38" i="12" l="1"/>
  <c r="K37" i="12"/>
  <c r="I40" i="12"/>
  <c r="I40" i="10"/>
  <c r="K39" i="10"/>
  <c r="J39" i="12" l="1"/>
  <c r="K38" i="12"/>
  <c r="I41" i="12"/>
  <c r="I41" i="10"/>
  <c r="K40" i="10"/>
  <c r="J40" i="12" l="1"/>
  <c r="K39" i="12"/>
  <c r="I42" i="12"/>
  <c r="I42" i="10"/>
  <c r="K41" i="10"/>
  <c r="J41" i="12" l="1"/>
  <c r="K40" i="12"/>
  <c r="I43" i="12"/>
  <c r="I43" i="10"/>
  <c r="K42" i="10"/>
  <c r="J42" i="12" l="1"/>
  <c r="K41" i="12"/>
  <c r="I44" i="12"/>
  <c r="I44" i="10"/>
  <c r="K43" i="10"/>
  <c r="J43" i="12" l="1"/>
  <c r="K42" i="12"/>
  <c r="I45" i="12"/>
  <c r="I45" i="10"/>
  <c r="K44" i="10"/>
  <c r="J44" i="12" l="1"/>
  <c r="K43" i="12"/>
  <c r="I46" i="12"/>
  <c r="I46" i="10"/>
  <c r="K45" i="10"/>
  <c r="J45" i="12" l="1"/>
  <c r="K44" i="12"/>
  <c r="I47" i="12"/>
  <c r="I47" i="10"/>
  <c r="K46" i="10"/>
  <c r="J46" i="12" l="1"/>
  <c r="K45" i="12"/>
  <c r="I48" i="12"/>
  <c r="I48" i="10"/>
  <c r="K47" i="10"/>
  <c r="J47" i="12" l="1"/>
  <c r="K46" i="12"/>
  <c r="I49" i="12"/>
  <c r="I49" i="10"/>
  <c r="K48" i="10"/>
  <c r="J48" i="12" l="1"/>
  <c r="K47" i="12"/>
  <c r="I50" i="12"/>
  <c r="I50" i="10"/>
  <c r="K49" i="10"/>
  <c r="J49" i="12" l="1"/>
  <c r="K48" i="12"/>
  <c r="I51" i="12"/>
  <c r="I51" i="10"/>
  <c r="K50" i="10"/>
  <c r="J50" i="12" l="1"/>
  <c r="K49" i="12"/>
  <c r="I52" i="12"/>
  <c r="I52" i="10"/>
  <c r="K51" i="10"/>
  <c r="J51" i="12" l="1"/>
  <c r="K50" i="12"/>
  <c r="I53" i="12"/>
  <c r="I53" i="10"/>
  <c r="K52" i="10"/>
  <c r="J52" i="12" l="1"/>
  <c r="K51" i="12"/>
  <c r="I54" i="12"/>
  <c r="I54" i="10"/>
  <c r="K53" i="10"/>
  <c r="J53" i="12" l="1"/>
  <c r="K52" i="12"/>
  <c r="I55" i="12"/>
  <c r="I55" i="10"/>
  <c r="K54" i="10"/>
  <c r="J54" i="12" l="1"/>
  <c r="K53" i="12"/>
  <c r="I56" i="12"/>
  <c r="I56" i="10"/>
  <c r="K55" i="10"/>
  <c r="J55" i="12" l="1"/>
  <c r="K54" i="12"/>
  <c r="I57" i="12"/>
  <c r="I57" i="10"/>
  <c r="K56" i="10"/>
  <c r="J56" i="12" l="1"/>
  <c r="K55" i="12"/>
  <c r="I58" i="12"/>
  <c r="I58" i="10"/>
  <c r="K57" i="10"/>
  <c r="J57" i="12" l="1"/>
  <c r="K56" i="12"/>
  <c r="I59" i="12"/>
  <c r="I59" i="10"/>
  <c r="K58" i="10"/>
  <c r="J58" i="12" l="1"/>
  <c r="K57" i="12"/>
  <c r="I60" i="12"/>
  <c r="I60" i="10"/>
  <c r="K59" i="10"/>
  <c r="J59" i="12" l="1"/>
  <c r="K58" i="12"/>
  <c r="I61" i="12"/>
  <c r="I61" i="10"/>
  <c r="K60" i="10"/>
  <c r="J60" i="12" l="1"/>
  <c r="K59" i="12"/>
  <c r="I62" i="12"/>
  <c r="I62" i="10"/>
  <c r="K61" i="10"/>
  <c r="J61" i="12" l="1"/>
  <c r="K60" i="12"/>
  <c r="I63" i="12"/>
  <c r="I63" i="10"/>
  <c r="K62" i="10"/>
  <c r="J62" i="12" l="1"/>
  <c r="K61" i="12"/>
  <c r="I64" i="12"/>
  <c r="I64" i="10"/>
  <c r="K63" i="10"/>
  <c r="J63" i="12" l="1"/>
  <c r="K62" i="12"/>
  <c r="I65" i="12"/>
  <c r="I65" i="10"/>
  <c r="K64" i="10"/>
  <c r="J64" i="12" l="1"/>
  <c r="K63" i="12"/>
  <c r="I66" i="12"/>
  <c r="I66" i="10"/>
  <c r="K65" i="10"/>
  <c r="J65" i="12" l="1"/>
  <c r="K64" i="12"/>
  <c r="I67" i="12"/>
  <c r="I67" i="10"/>
  <c r="K66" i="10"/>
  <c r="J66" i="12" l="1"/>
  <c r="K65" i="12"/>
  <c r="I68" i="12"/>
  <c r="I68" i="10"/>
  <c r="K67" i="10"/>
  <c r="J67" i="12" l="1"/>
  <c r="K66" i="12"/>
  <c r="I69" i="12"/>
  <c r="I69" i="10"/>
  <c r="K68" i="10"/>
  <c r="J68" i="12" l="1"/>
  <c r="K67" i="12"/>
  <c r="I70" i="12"/>
  <c r="I70" i="10"/>
  <c r="K69" i="10"/>
  <c r="J69" i="12" l="1"/>
  <c r="K68" i="12"/>
  <c r="I71" i="12"/>
  <c r="I71" i="10"/>
  <c r="K70" i="10"/>
  <c r="J70" i="12" l="1"/>
  <c r="K69" i="12"/>
  <c r="I72" i="12"/>
  <c r="I72" i="10"/>
  <c r="K71" i="10"/>
  <c r="J71" i="12" l="1"/>
  <c r="K70" i="12"/>
  <c r="I73" i="12"/>
  <c r="I73" i="10"/>
  <c r="K72" i="10"/>
  <c r="J72" i="12" l="1"/>
  <c r="K71" i="12"/>
  <c r="I74" i="12"/>
  <c r="I74" i="10"/>
  <c r="K73" i="10"/>
  <c r="J73" i="12" l="1"/>
  <c r="K72" i="12"/>
  <c r="I75" i="12"/>
  <c r="I75" i="10"/>
  <c r="K74" i="10"/>
  <c r="J74" i="12" l="1"/>
  <c r="K73" i="12"/>
  <c r="I76" i="12"/>
  <c r="I76" i="10"/>
  <c r="K75" i="10"/>
  <c r="J75" i="12" l="1"/>
  <c r="K74" i="12"/>
  <c r="I77" i="12"/>
  <c r="I77" i="10"/>
  <c r="K76" i="10"/>
  <c r="J76" i="12" l="1"/>
  <c r="K75" i="12"/>
  <c r="I78" i="12"/>
  <c r="I78" i="10"/>
  <c r="K77" i="10"/>
  <c r="J77" i="12" l="1"/>
  <c r="K76" i="12"/>
  <c r="I79" i="12"/>
  <c r="I79" i="10"/>
  <c r="K78" i="10"/>
  <c r="J78" i="12" l="1"/>
  <c r="K77" i="12"/>
  <c r="I80" i="12"/>
  <c r="I80" i="10"/>
  <c r="K79" i="10"/>
  <c r="J79" i="12" l="1"/>
  <c r="K78" i="12"/>
  <c r="I81" i="12"/>
  <c r="I81" i="10"/>
  <c r="K80" i="10"/>
  <c r="J80" i="12" l="1"/>
  <c r="K79" i="12"/>
  <c r="I82" i="12"/>
  <c r="I82" i="10"/>
  <c r="K81" i="10"/>
  <c r="J81" i="12" l="1"/>
  <c r="K80" i="12"/>
  <c r="I83" i="12"/>
  <c r="I83" i="10"/>
  <c r="K82" i="10"/>
  <c r="J82" i="12" l="1"/>
  <c r="K81" i="12"/>
  <c r="I84" i="12"/>
  <c r="I84" i="10"/>
  <c r="K83" i="10"/>
  <c r="J83" i="12" l="1"/>
  <c r="K82" i="12"/>
  <c r="I85" i="12"/>
  <c r="I85" i="10"/>
  <c r="K84" i="10"/>
  <c r="J84" i="12" l="1"/>
  <c r="K83" i="12"/>
  <c r="I86" i="12"/>
  <c r="I86" i="10"/>
  <c r="K85" i="10"/>
  <c r="J85" i="12" l="1"/>
  <c r="K84" i="12"/>
  <c r="I87" i="12"/>
  <c r="I87" i="10"/>
  <c r="K86" i="10"/>
  <c r="J86" i="12" l="1"/>
  <c r="K85" i="12"/>
  <c r="I88" i="12"/>
  <c r="I88" i="10"/>
  <c r="K87" i="10"/>
  <c r="J87" i="12" l="1"/>
  <c r="K86" i="12"/>
  <c r="I89" i="12"/>
  <c r="I89" i="10"/>
  <c r="K88" i="10"/>
  <c r="J88" i="12" l="1"/>
  <c r="K87" i="12"/>
  <c r="I90" i="12"/>
  <c r="I90" i="10"/>
  <c r="K89" i="10"/>
  <c r="J89" i="12" l="1"/>
  <c r="K88" i="12"/>
  <c r="I91" i="12"/>
  <c r="I91" i="10"/>
  <c r="K90" i="10"/>
  <c r="J90" i="12" l="1"/>
  <c r="K89" i="12"/>
  <c r="I92" i="12"/>
  <c r="I92" i="10"/>
  <c r="K91" i="10"/>
  <c r="J91" i="12" l="1"/>
  <c r="K90" i="12"/>
  <c r="I93" i="12"/>
  <c r="I93" i="10"/>
  <c r="K92" i="10"/>
  <c r="J92" i="12" l="1"/>
  <c r="K91" i="12"/>
  <c r="I94" i="12"/>
  <c r="I94" i="10"/>
  <c r="K93" i="10"/>
  <c r="J93" i="12" l="1"/>
  <c r="K92" i="12"/>
  <c r="I95" i="12"/>
  <c r="I95" i="10"/>
  <c r="K94" i="10"/>
  <c r="J94" i="12" l="1"/>
  <c r="K93" i="12"/>
  <c r="I96" i="12"/>
  <c r="I96" i="10"/>
  <c r="K95" i="10"/>
  <c r="J95" i="12" l="1"/>
  <c r="K94" i="12"/>
  <c r="I97" i="12"/>
  <c r="I97" i="10"/>
  <c r="K96" i="10"/>
  <c r="J96" i="12" l="1"/>
  <c r="K95" i="12"/>
  <c r="I98" i="12"/>
  <c r="I98" i="10"/>
  <c r="K97" i="10"/>
  <c r="J97" i="12" l="1"/>
  <c r="K96" i="12"/>
  <c r="I99" i="12"/>
  <c r="I99" i="10"/>
  <c r="K98" i="10"/>
  <c r="J98" i="12" l="1"/>
  <c r="K97" i="12"/>
  <c r="I100" i="12"/>
  <c r="I100" i="10"/>
  <c r="K99" i="10"/>
  <c r="J99" i="12" l="1"/>
  <c r="K98" i="12"/>
  <c r="K104" i="12"/>
  <c r="K100" i="10"/>
  <c r="K103" i="10" s="1"/>
  <c r="K104" i="10"/>
  <c r="J100" i="12" l="1"/>
  <c r="K100" i="12" s="1"/>
  <c r="K99" i="12"/>
  <c r="K106" i="10"/>
  <c r="K103" i="12" l="1"/>
  <c r="K106" i="12" s="1"/>
</calcChain>
</file>

<file path=xl/sharedStrings.xml><?xml version="1.0" encoding="utf-8"?>
<sst xmlns="http://schemas.openxmlformats.org/spreadsheetml/2006/main" count="492" uniqueCount="132">
  <si>
    <t>Pi</t>
  </si>
  <si>
    <t>Qi</t>
  </si>
  <si>
    <t>Gini Den</t>
  </si>
  <si>
    <t>Gini Num</t>
  </si>
  <si>
    <t>Gini</t>
  </si>
  <si>
    <t>Sum (Pi)-1</t>
  </si>
  <si>
    <t>Sum (Pi-Qi)</t>
  </si>
  <si>
    <t>Pi Acum</t>
  </si>
  <si>
    <t>Qi Acum</t>
  </si>
  <si>
    <r>
      <t xml:space="preserve">Participación del caso </t>
    </r>
    <r>
      <rPr>
        <i/>
        <sz val="9"/>
        <color theme="1"/>
        <rFont val="Arial"/>
        <family val="2"/>
      </rPr>
      <t>i-ésimo</t>
    </r>
    <r>
      <rPr>
        <sz val="9"/>
        <color theme="1"/>
        <rFont val="Arial"/>
        <family val="2"/>
      </rPr>
      <t xml:space="preserve"> en el ingreso total</t>
    </r>
  </si>
  <si>
    <r>
      <t xml:space="preserve">Porcentaje del caso </t>
    </r>
    <r>
      <rPr>
        <i/>
        <sz val="9"/>
        <color theme="1"/>
        <rFont val="Arial"/>
        <family val="2"/>
      </rPr>
      <t>i-ésimo</t>
    </r>
    <r>
      <rPr>
        <sz val="9"/>
        <color theme="1"/>
        <rFont val="Arial"/>
        <family val="2"/>
      </rPr>
      <t xml:space="preserve"> en la distribución general</t>
    </r>
  </si>
  <si>
    <t>Distribución acumulada de casos</t>
  </si>
  <si>
    <t>Participación relativa en el ingreso acumulada</t>
  </si>
  <si>
    <t>Pi-Qi</t>
  </si>
  <si>
    <t>Diferencia entre el porcentaje acumulado de casos y el porcentaje de participación en el ingreso</t>
  </si>
  <si>
    <t/>
  </si>
  <si>
    <t>Media</t>
  </si>
  <si>
    <t>Recuento</t>
  </si>
  <si>
    <t>1</t>
  </si>
  <si>
    <t>ipcf_m Ingreso per cápita familiar con ingresos imputados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</si>
  <si>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</si>
  <si>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</si>
  <si>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</si>
  <si>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</si>
  <si>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</si>
  <si>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</si>
  <si>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</si>
  <si>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</si>
  <si>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</si>
  <si>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Ingreso total</t>
  </si>
  <si>
    <t>NIPCF Percentile Group of IPCF</t>
  </si>
  <si>
    <t>IPCF MONTO DEL INGRESO PER CÁPITA FAMILIAR.</t>
  </si>
  <si>
    <t>Estadísticos</t>
  </si>
  <si>
    <t>N</t>
  </si>
  <si>
    <t>Válido</t>
  </si>
  <si>
    <t>Perdidos</t>
  </si>
  <si>
    <t>Suma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</si>
  <si>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</si>
  <si>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</si>
  <si>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</si>
  <si>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</si>
  <si>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</si>
  <si>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</si>
  <si>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</si>
  <si>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</si>
  <si>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</si>
  <si>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</si>
  <si>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</si>
  <si>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</si>
  <si>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</si>
  <si>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</si>
  <si>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</si>
  <si>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</si>
  <si>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</si>
  <si>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</si>
  <si>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</si>
  <si>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</si>
  <si>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</si>
  <si>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</si>
  <si>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</si>
  <si>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</si>
  <si>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</si>
  <si>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</si>
  <si>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</si>
  <si>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</si>
  <si>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</si>
  <si>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</si>
  <si>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</si>
  <si>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</si>
  <si>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</si>
  <si>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</si>
  <si>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</si>
  <si>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</si>
  <si>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</si>
  <si>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</si>
  <si>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</si>
  <si>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</si>
  <si>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NTI002 Percentile Group of ipcf_m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</si>
  <si>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</si>
  <si>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</si>
  <si>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</si>
  <si>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</si>
  <si>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</si>
  <si>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</si>
  <si>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</si>
  <si>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</si>
  <si>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</si>
  <si>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</si>
  <si>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</si>
  <si>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</si>
  <si>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</si>
  <si>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</si>
  <si>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</si>
  <si>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</si>
  <si>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</si>
  <si>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</si>
  <si>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</si>
  <si>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</si>
  <si>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</si>
  <si>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</si>
  <si>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</si>
  <si>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</si>
  <si>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</si>
  <si>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</si>
  <si>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</si>
  <si>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</si>
  <si>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</si>
  <si>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</si>
  <si>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</si>
  <si>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</si>
  <si>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</si>
  <si>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</si>
  <si>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</si>
  <si>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</si>
  <si>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</si>
  <si>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</si>
  <si>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</si>
  <si>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</si>
  <si>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</si>
  <si>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</si>
  <si>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</si>
  <si>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</si>
  <si>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</si>
  <si>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</si>
  <si>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</si>
  <si>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</si>
  <si>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</si>
  <si>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Mediana</t>
  </si>
  <si>
    <t>Moda</t>
  </si>
  <si>
    <t>Desv. Desviación</t>
  </si>
  <si>
    <t>Total</t>
  </si>
  <si>
    <t>EN ESTA HOJA VEMOS QUÉ PASA SI LA MASA DE INGRESO PERMANECE IGUAL, PERO EL P99 PIERDE INGRESOS A FAVOR DE LOS P1 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</si>
</sst>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00000"/>
    <numFmt numFmtId="166" formatCode="0.0000"/>
    <numFmt numFmtId="173" formatCode="###0.00"/>
    <numFmt numFmtId="174" formatCode="###0"/>
    <numFmt numFmtId="175" formatCode="0.0%"/>
    <numFmt numFmtId="177" formatCode="###0.000"/>
  </numFmts>
  <fonts count="9"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sz val="10"/>
      <name val="Arial"/>
    </font>
    <font>
      <sz val="9"/>
      <color indexed="8"/>
      <name val="Arial"/>
    </font>
    <font>
      <b/>
      <sz val="9"/>
      <color indexed="8"/>
      <name val="Arial Bold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</cellStyleXfs>
  <cellXfs count="96">
    <xf numFmtId="0" fontId="0" fillId="0" borderId="0" xfId="0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2" applyAlignment="1"/>
    <xf numFmtId="174" fontId="0" fillId="0" borderId="0" xfId="0" applyNumberFormat="1"/>
    <xf numFmtId="0" fontId="6" fillId="0" borderId="0" xfId="2" applyFont="1" applyFill="1" applyBorder="1" applyAlignment="1">
      <alignment horizontal="center"/>
    </xf>
    <xf numFmtId="9" fontId="0" fillId="0" borderId="0" xfId="1" applyFont="1"/>
    <xf numFmtId="9" fontId="0" fillId="0" borderId="0" xfId="0" applyNumberFormat="1"/>
    <xf numFmtId="1" fontId="5" fillId="0" borderId="0" xfId="2" applyNumberFormat="1" applyAlignment="1"/>
    <xf numFmtId="1" fontId="0" fillId="0" borderId="0" xfId="0" applyNumberFormat="1"/>
    <xf numFmtId="0" fontId="6" fillId="0" borderId="7" xfId="3" applyFont="1" applyBorder="1" applyAlignment="1">
      <alignment horizontal="left" vertical="top"/>
    </xf>
    <xf numFmtId="173" fontId="6" fillId="0" borderId="9" xfId="3" applyNumberFormat="1" applyFont="1" applyBorder="1" applyAlignment="1">
      <alignment horizontal="right" vertical="top"/>
    </xf>
    <xf numFmtId="174" fontId="6" fillId="0" borderId="10" xfId="3" applyNumberFormat="1" applyFont="1" applyBorder="1" applyAlignment="1">
      <alignment horizontal="right" vertical="top"/>
    </xf>
    <xf numFmtId="0" fontId="6" fillId="0" borderId="0" xfId="3" applyFont="1" applyBorder="1" applyAlignment="1">
      <alignment horizontal="left" vertical="top"/>
    </xf>
    <xf numFmtId="173" fontId="6" fillId="0" borderId="13" xfId="3" applyNumberFormat="1" applyFont="1" applyBorder="1" applyAlignment="1">
      <alignment horizontal="right" vertical="top"/>
    </xf>
    <xf numFmtId="174" fontId="6" fillId="0" borderId="14" xfId="3" applyNumberFormat="1" applyFont="1" applyBorder="1" applyAlignment="1">
      <alignment horizontal="right" vertical="top"/>
    </xf>
    <xf numFmtId="0" fontId="6" fillId="0" borderId="16" xfId="3" applyFont="1" applyBorder="1" applyAlignment="1">
      <alignment horizontal="left" vertical="top"/>
    </xf>
    <xf numFmtId="173" fontId="6" fillId="0" borderId="18" xfId="3" applyNumberFormat="1" applyFont="1" applyBorder="1" applyAlignment="1">
      <alignment horizontal="right" vertical="top"/>
    </xf>
    <xf numFmtId="174" fontId="6" fillId="0" borderId="19" xfId="3" applyNumberFormat="1" applyFont="1" applyBorder="1" applyAlignment="1">
      <alignment horizontal="right" vertical="top"/>
    </xf>
    <xf numFmtId="0" fontId="6" fillId="0" borderId="1" xfId="3" applyFont="1" applyBorder="1" applyAlignment="1">
      <alignment horizontal="left"/>
    </xf>
    <xf numFmtId="0" fontId="6" fillId="0" borderId="2" xfId="3" applyFont="1" applyBorder="1" applyAlignment="1">
      <alignment horizontal="left"/>
    </xf>
    <xf numFmtId="0" fontId="6" fillId="0" borderId="3" xfId="3" applyFont="1" applyBorder="1" applyAlignment="1">
      <alignment horizontal="left"/>
    </xf>
    <xf numFmtId="0" fontId="6" fillId="0" borderId="4" xfId="3" applyFont="1" applyBorder="1" applyAlignment="1">
      <alignment horizontal="center"/>
    </xf>
    <xf numFmtId="0" fontId="6" fillId="0" borderId="5" xfId="3" applyFont="1" applyBorder="1" applyAlignment="1">
      <alignment horizontal="center"/>
    </xf>
    <xf numFmtId="0" fontId="5" fillId="0" borderId="0" xfId="3" applyAlignment="1"/>
    <xf numFmtId="0" fontId="6" fillId="0" borderId="6" xfId="3" applyFont="1" applyBorder="1" applyAlignment="1">
      <alignment horizontal="left" vertical="top"/>
    </xf>
    <xf numFmtId="0" fontId="6" fillId="0" borderId="8" xfId="3" applyFont="1" applyBorder="1" applyAlignment="1">
      <alignment horizontal="left" vertical="top"/>
    </xf>
    <xf numFmtId="0" fontId="6" fillId="0" borderId="11" xfId="3" applyFont="1" applyBorder="1" applyAlignment="1">
      <alignment horizontal="left" vertical="top"/>
    </xf>
    <xf numFmtId="0" fontId="6" fillId="0" borderId="12" xfId="3" applyFont="1" applyBorder="1" applyAlignment="1">
      <alignment horizontal="left" vertical="top"/>
    </xf>
    <xf numFmtId="0" fontId="6" fillId="0" borderId="15" xfId="3" applyFont="1" applyBorder="1" applyAlignment="1">
      <alignment horizontal="left" vertical="top"/>
    </xf>
    <xf numFmtId="0" fontId="6" fillId="0" borderId="17" xfId="3" applyFont="1" applyBorder="1" applyAlignment="1">
      <alignment horizontal="left" vertical="top"/>
    </xf>
    <xf numFmtId="9" fontId="6" fillId="0" borderId="0" xfId="1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75" fontId="0" fillId="0" borderId="0" xfId="1" applyNumberFormat="1" applyFont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6" fontId="1" fillId="0" borderId="26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6" fontId="1" fillId="0" borderId="28" xfId="0" applyNumberFormat="1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65" fontId="2" fillId="0" borderId="31" xfId="0" applyNumberFormat="1" applyFont="1" applyBorder="1" applyAlignment="1">
      <alignment horizontal="center"/>
    </xf>
    <xf numFmtId="0" fontId="7" fillId="0" borderId="0" xfId="4" applyFont="1" applyBorder="1" applyAlignment="1">
      <alignment horizontal="center" vertical="center" wrapText="1"/>
    </xf>
    <xf numFmtId="0" fontId="5" fillId="0" borderId="0" xfId="4"/>
    <xf numFmtId="0" fontId="6" fillId="2" borderId="0" xfId="4" applyFont="1" applyFill="1"/>
    <xf numFmtId="0" fontId="5" fillId="0" borderId="0" xfId="4"/>
    <xf numFmtId="0" fontId="6" fillId="0" borderId="6" xfId="4" applyFont="1" applyBorder="1" applyAlignment="1">
      <alignment horizontal="left" vertical="top" wrapText="1"/>
    </xf>
    <xf numFmtId="0" fontId="6" fillId="0" borderId="8" xfId="4" applyFont="1" applyBorder="1" applyAlignment="1">
      <alignment horizontal="left" vertical="top" wrapText="1"/>
    </xf>
    <xf numFmtId="174" fontId="6" fillId="0" borderId="20" xfId="4" applyNumberFormat="1" applyFont="1" applyBorder="1" applyAlignment="1">
      <alignment horizontal="right" vertical="top"/>
    </xf>
    <xf numFmtId="0" fontId="6" fillId="0" borderId="11" xfId="4" applyFont="1" applyBorder="1" applyAlignment="1">
      <alignment horizontal="left" vertical="top" wrapText="1"/>
    </xf>
    <xf numFmtId="0" fontId="6" fillId="0" borderId="12" xfId="4" applyFont="1" applyBorder="1" applyAlignment="1">
      <alignment horizontal="left" vertical="top" wrapText="1"/>
    </xf>
    <xf numFmtId="174" fontId="6" fillId="0" borderId="21" xfId="4" applyNumberFormat="1" applyFont="1" applyBorder="1" applyAlignment="1">
      <alignment horizontal="right" vertical="top"/>
    </xf>
    <xf numFmtId="0" fontId="6" fillId="0" borderId="12" xfId="4" applyFont="1" applyBorder="1" applyAlignment="1">
      <alignment horizontal="left" vertical="top" wrapText="1"/>
    </xf>
    <xf numFmtId="173" fontId="6" fillId="0" borderId="21" xfId="4" applyNumberFormat="1" applyFont="1" applyBorder="1" applyAlignment="1">
      <alignment horizontal="right" vertical="top"/>
    </xf>
    <xf numFmtId="0" fontId="6" fillId="0" borderId="15" xfId="4" applyFont="1" applyBorder="1" applyAlignment="1">
      <alignment horizontal="left" vertical="top" wrapText="1"/>
    </xf>
    <xf numFmtId="0" fontId="6" fillId="0" borderId="17" xfId="4" applyFont="1" applyBorder="1" applyAlignment="1">
      <alignment horizontal="left" vertical="top" wrapText="1"/>
    </xf>
    <xf numFmtId="177" fontId="6" fillId="0" borderId="22" xfId="4" applyNumberFormat="1" applyFont="1" applyBorder="1" applyAlignment="1">
      <alignment horizontal="right" vertical="top"/>
    </xf>
    <xf numFmtId="0" fontId="6" fillId="0" borderId="1" xfId="4" applyFont="1" applyBorder="1" applyAlignment="1">
      <alignment horizontal="left" wrapText="1"/>
    </xf>
    <xf numFmtId="0" fontId="6" fillId="0" borderId="2" xfId="4" applyFont="1" applyBorder="1" applyAlignment="1">
      <alignment horizontal="left" wrapText="1"/>
    </xf>
    <xf numFmtId="0" fontId="6" fillId="0" borderId="3" xfId="4" applyFont="1" applyBorder="1" applyAlignment="1">
      <alignment horizontal="left" wrapText="1"/>
    </xf>
    <xf numFmtId="0" fontId="6" fillId="0" borderId="4" xfId="4" applyFont="1" applyBorder="1" applyAlignment="1">
      <alignment horizontal="center" wrapText="1"/>
    </xf>
    <xf numFmtId="0" fontId="6" fillId="0" borderId="5" xfId="4" applyFont="1" applyBorder="1" applyAlignment="1">
      <alignment horizontal="center" wrapText="1"/>
    </xf>
    <xf numFmtId="0" fontId="6" fillId="0" borderId="7" xfId="4" applyFont="1" applyBorder="1" applyAlignment="1">
      <alignment horizontal="left" vertical="top"/>
    </xf>
    <xf numFmtId="174" fontId="6" fillId="0" borderId="9" xfId="4" applyNumberFormat="1" applyFont="1" applyBorder="1" applyAlignment="1">
      <alignment horizontal="right" vertical="top"/>
    </xf>
    <xf numFmtId="174" fontId="6" fillId="0" borderId="10" xfId="4" applyNumberFormat="1" applyFont="1" applyBorder="1" applyAlignment="1">
      <alignment horizontal="right" vertical="top"/>
    </xf>
    <xf numFmtId="0" fontId="6" fillId="0" borderId="0" xfId="4" applyFont="1" applyBorder="1" applyAlignment="1">
      <alignment horizontal="left" vertical="top"/>
    </xf>
    <xf numFmtId="174" fontId="6" fillId="0" borderId="13" xfId="4" applyNumberFormat="1" applyFont="1" applyBorder="1" applyAlignment="1">
      <alignment horizontal="right" vertical="top"/>
    </xf>
    <xf numFmtId="174" fontId="6" fillId="0" borderId="14" xfId="4" applyNumberFormat="1" applyFont="1" applyBorder="1" applyAlignment="1">
      <alignment horizontal="right" vertical="top"/>
    </xf>
    <xf numFmtId="0" fontId="6" fillId="0" borderId="16" xfId="4" applyFont="1" applyBorder="1" applyAlignment="1">
      <alignment horizontal="left" vertical="top" wrapText="1"/>
    </xf>
    <xf numFmtId="0" fontId="6" fillId="0" borderId="17" xfId="4" applyFont="1" applyBorder="1" applyAlignment="1">
      <alignment horizontal="left" vertical="top" wrapText="1"/>
    </xf>
    <xf numFmtId="174" fontId="6" fillId="0" borderId="18" xfId="4" applyNumberFormat="1" applyFont="1" applyBorder="1" applyAlignment="1">
      <alignment horizontal="right" vertical="top"/>
    </xf>
    <xf numFmtId="174" fontId="6" fillId="0" borderId="19" xfId="4" applyNumberFormat="1" applyFont="1" applyBorder="1" applyAlignment="1">
      <alignment horizontal="right" vertical="top"/>
    </xf>
    <xf numFmtId="0" fontId="6" fillId="0" borderId="32" xfId="4" applyFont="1" applyBorder="1" applyAlignment="1">
      <alignment horizontal="center" wrapText="1"/>
    </xf>
    <xf numFmtId="174" fontId="6" fillId="0" borderId="33" xfId="4" applyNumberFormat="1" applyFont="1" applyBorder="1" applyAlignment="1">
      <alignment horizontal="right" vertical="top"/>
    </xf>
    <xf numFmtId="174" fontId="6" fillId="0" borderId="34" xfId="4" applyNumberFormat="1" applyFont="1" applyBorder="1" applyAlignment="1">
      <alignment horizontal="right" vertical="top"/>
    </xf>
    <xf numFmtId="174" fontId="6" fillId="0" borderId="35" xfId="4" applyNumberFormat="1" applyFont="1" applyBorder="1" applyAlignment="1">
      <alignment horizontal="right" vertical="top"/>
    </xf>
    <xf numFmtId="1" fontId="0" fillId="0" borderId="23" xfId="0" applyNumberFormat="1" applyBorder="1"/>
    <xf numFmtId="173" fontId="6" fillId="3" borderId="9" xfId="3" applyNumberFormat="1" applyFont="1" applyFill="1" applyBorder="1" applyAlignment="1">
      <alignment horizontal="right" vertical="top"/>
    </xf>
    <xf numFmtId="173" fontId="6" fillId="3" borderId="18" xfId="3" applyNumberFormat="1" applyFont="1" applyFill="1" applyBorder="1" applyAlignment="1">
      <alignment horizontal="right" vertical="top"/>
    </xf>
    <xf numFmtId="1" fontId="0" fillId="3" borderId="23" xfId="0" applyNumberFormat="1" applyFill="1" applyBorder="1"/>
    <xf numFmtId="1" fontId="5" fillId="3" borderId="0" xfId="3" applyNumberFormat="1" applyFill="1" applyAlignment="1"/>
    <xf numFmtId="173" fontId="6" fillId="3" borderId="13" xfId="3" applyNumberFormat="1" applyFont="1" applyFill="1" applyBorder="1" applyAlignment="1">
      <alignment horizontal="right" vertical="top"/>
    </xf>
    <xf numFmtId="0" fontId="2" fillId="3" borderId="2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165" fontId="2" fillId="3" borderId="31" xfId="0" applyNumberFormat="1" applyFont="1" applyFill="1" applyBorder="1" applyAlignment="1">
      <alignment horizontal="center"/>
    </xf>
    <xf numFmtId="0" fontId="8" fillId="0" borderId="24" xfId="0" applyFont="1" applyBorder="1" applyAlignment="1">
      <alignment horizontal="center" wrapText="1"/>
    </xf>
    <xf numFmtId="0" fontId="8" fillId="0" borderId="25" xfId="0" applyFont="1" applyBorder="1" applyAlignment="1">
      <alignment horizontal="center" wrapText="1"/>
    </xf>
    <xf numFmtId="0" fontId="8" fillId="0" borderId="26" xfId="0" applyFont="1" applyBorder="1" applyAlignment="1">
      <alignment horizontal="center" wrapText="1"/>
    </xf>
    <xf numFmtId="0" fontId="8" fillId="0" borderId="27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29" xfId="0" applyFont="1" applyBorder="1" applyAlignment="1">
      <alignment horizontal="center" wrapText="1"/>
    </xf>
    <xf numFmtId="0" fontId="8" fillId="0" borderId="30" xfId="0" applyFont="1" applyBorder="1" applyAlignment="1">
      <alignment horizontal="center" wrapText="1"/>
    </xf>
    <xf numFmtId="0" fontId="8" fillId="0" borderId="31" xfId="0" applyFont="1" applyBorder="1" applyAlignment="1">
      <alignment horizontal="center" wrapText="1"/>
    </xf>
  </cellXfs>
  <cellStyles count="5">
    <cellStyle name="Normal" xfId="0" builtinId="0"/>
    <cellStyle name="Normal_Hoja2" xfId="2" xr:uid="{72E66599-425C-4EE1-AD32-045B36BCE65C}"/>
    <cellStyle name="Normal_Hoja4" xfId="3" xr:uid="{65E55FAF-22E7-415F-97BD-BAA4D1CAD8FD}"/>
    <cellStyle name="Normal_Hoja5" xfId="4" xr:uid="{9AA3798F-F6DE-46E3-A6C6-99D090260219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481852</xdr:colOff>
      <xdr:row>108</xdr:row>
      <xdr:rowOff>11207</xdr:rowOff>
    </xdr:from>
    <xdr:to>
      <xdr:col>16</xdr:col>
      <xdr:colOff>573745</xdr:colOff>
      <xdr:row>118</xdr:row>
      <xdr:rowOff>91884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344232-6558-392C-3571-82ED97F47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9970" y="17032942"/>
          <a:ext cx="7196422" cy="1649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481852</xdr:colOff>
      <xdr:row>108</xdr:row>
      <xdr:rowOff>11207</xdr:rowOff>
    </xdr:from>
    <xdr:to>
      <xdr:col>17</xdr:col>
      <xdr:colOff>58274</xdr:colOff>
      <xdr:row>118</xdr:row>
      <xdr:rowOff>91883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339BCD-E81E-4A5B-8359-332E16EF4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4452" y="17565782"/>
          <a:ext cx="7196983" cy="1699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4FBA-6A1F-4A9B-B0C6-6E6CF44E1042}">
  <dimension ref="A1:L26"/>
  <sheetViews>
    <sheetView workbookViewId="0">
      <selection activeCell="F21" sqref="F21"/>
    </sheetView>
  </sheetViews>
  <sheetFormatPr baseColWidth="10" defaultRowHeight="12.75"/>
  <cols>
    <col min="8" max="8" width="49.7109375" customWidth="1"/>
    <col min="11" max="11" width="18.28515625" customWidth="1"/>
    <col min="12" max="12" width="13" bestFit="1" customWidth="1"/>
  </cols>
  <sheetData>
    <row r="1" spans="1:12" ht="13.5" thickBot="1">
      <c r="A1" s="44" t="s">
        <v>32</v>
      </c>
      <c r="B1" s="44"/>
      <c r="C1" s="44"/>
      <c r="D1" s="45"/>
    </row>
    <row r="2" spans="1:12" ht="14.25" thickTop="1" thickBot="1">
      <c r="A2" s="46" t="s">
        <v>31</v>
      </c>
      <c r="B2" s="47"/>
      <c r="C2" s="47"/>
      <c r="D2" s="45"/>
      <c r="F2" s="59" t="s">
        <v>15</v>
      </c>
      <c r="G2" s="60"/>
      <c r="H2" s="61"/>
      <c r="I2" s="62" t="s">
        <v>16</v>
      </c>
      <c r="J2" s="74" t="s">
        <v>17</v>
      </c>
      <c r="K2" s="63" t="s">
        <v>36</v>
      </c>
    </row>
    <row r="3" spans="1:12" ht="13.5" customHeight="1" thickTop="1">
      <c r="A3" s="48" t="s">
        <v>33</v>
      </c>
      <c r="B3" s="49" t="s">
        <v>34</v>
      </c>
      <c r="C3" s="50">
        <v>12256734</v>
      </c>
      <c r="D3" s="45"/>
      <c r="F3" s="48" t="s">
        <v>30</v>
      </c>
      <c r="G3" s="64" t="s">
        <v>18</v>
      </c>
      <c r="H3" s="49" t="s">
        <v>31</v>
      </c>
      <c r="I3" s="65">
        <v>28212.660053094864</v>
      </c>
      <c r="J3" s="75">
        <v>2895949</v>
      </c>
      <c r="K3" s="66">
        <v>81702424668.100021</v>
      </c>
      <c r="L3" s="5">
        <f>+(K3+K4+K5+K6)/K13</f>
        <v>0.14679122710968223</v>
      </c>
    </row>
    <row r="4" spans="1:12">
      <c r="A4" s="51"/>
      <c r="B4" s="52" t="s">
        <v>35</v>
      </c>
      <c r="C4" s="53">
        <v>0</v>
      </c>
      <c r="D4" s="45"/>
      <c r="F4" s="51"/>
      <c r="G4" s="67" t="s">
        <v>20</v>
      </c>
      <c r="H4" s="52" t="s">
        <v>31</v>
      </c>
      <c r="I4" s="68">
        <v>48823.96004309562</v>
      </c>
      <c r="J4" s="76">
        <v>3011444</v>
      </c>
      <c r="K4" s="69">
        <v>147030621528.02005</v>
      </c>
    </row>
    <row r="5" spans="1:12">
      <c r="A5" s="51" t="s">
        <v>16</v>
      </c>
      <c r="B5" s="54"/>
      <c r="C5" s="55">
        <v>103831.44433390988</v>
      </c>
      <c r="D5" s="45">
        <f>+C8/C5</f>
        <v>0.7716462184525108</v>
      </c>
      <c r="F5" s="51"/>
      <c r="G5" s="67" t="s">
        <v>21</v>
      </c>
      <c r="H5" s="52" t="s">
        <v>31</v>
      </c>
      <c r="I5" s="68">
        <v>67402.404514351132</v>
      </c>
      <c r="J5" s="76">
        <v>2956323</v>
      </c>
      <c r="K5" s="69">
        <v>199263278721.08008</v>
      </c>
    </row>
    <row r="6" spans="1:12">
      <c r="A6" s="51" t="s">
        <v>127</v>
      </c>
      <c r="B6" s="54"/>
      <c r="C6" s="55">
        <v>86666.67</v>
      </c>
      <c r="D6" s="45"/>
      <c r="F6" s="51"/>
      <c r="G6" s="67" t="s">
        <v>22</v>
      </c>
      <c r="H6" s="52" t="s">
        <v>31</v>
      </c>
      <c r="I6" s="68">
        <v>84744.416091421954</v>
      </c>
      <c r="J6" s="76">
        <v>2944521</v>
      </c>
      <c r="K6" s="69">
        <v>249531712813.92987</v>
      </c>
    </row>
    <row r="7" spans="1:12">
      <c r="A7" s="51" t="s">
        <v>128</v>
      </c>
      <c r="B7" s="54"/>
      <c r="C7" s="53">
        <v>100000</v>
      </c>
      <c r="D7" s="45"/>
      <c r="F7" s="51"/>
      <c r="G7" s="67" t="s">
        <v>23</v>
      </c>
      <c r="H7" s="52" t="s">
        <v>31</v>
      </c>
      <c r="I7" s="68">
        <v>102998.51690652844</v>
      </c>
      <c r="J7" s="76">
        <v>2940683</v>
      </c>
      <c r="K7" s="69">
        <v>302885987692.24078</v>
      </c>
    </row>
    <row r="8" spans="1:12" ht="13.5" thickBot="1">
      <c r="A8" s="56" t="s">
        <v>129</v>
      </c>
      <c r="B8" s="57"/>
      <c r="C8" s="58">
        <v>80121.141376723943</v>
      </c>
      <c r="D8" s="45"/>
      <c r="F8" s="51"/>
      <c r="G8" s="67" t="s">
        <v>24</v>
      </c>
      <c r="H8" s="52" t="s">
        <v>31</v>
      </c>
      <c r="I8" s="68">
        <v>123761.52419910586</v>
      </c>
      <c r="J8" s="76">
        <v>2959973</v>
      </c>
      <c r="K8" s="69">
        <v>366330770068.19995</v>
      </c>
    </row>
    <row r="9" spans="1:12" ht="13.5" thickTop="1">
      <c r="A9" s="45"/>
      <c r="B9" s="45"/>
      <c r="C9" s="45"/>
      <c r="D9" s="45"/>
      <c r="F9" s="51"/>
      <c r="G9" s="67" t="s">
        <v>25</v>
      </c>
      <c r="H9" s="52" t="s">
        <v>31</v>
      </c>
      <c r="I9" s="68">
        <v>151369.55297612384</v>
      </c>
      <c r="J9" s="76">
        <v>3001636</v>
      </c>
      <c r="K9" s="69">
        <v>454356299517.04047</v>
      </c>
    </row>
    <row r="10" spans="1:12">
      <c r="A10" s="44" t="s">
        <v>32</v>
      </c>
      <c r="B10" s="44"/>
      <c r="C10" s="44"/>
      <c r="D10" s="45"/>
      <c r="F10" s="51"/>
      <c r="G10" s="67" t="s">
        <v>26</v>
      </c>
      <c r="H10" s="52" t="s">
        <v>31</v>
      </c>
      <c r="I10" s="68">
        <v>190418.40243976677</v>
      </c>
      <c r="J10" s="76">
        <v>2919492</v>
      </c>
      <c r="K10" s="69">
        <v>555925002575.67957</v>
      </c>
    </row>
    <row r="11" spans="1:12" ht="13.5" thickBot="1">
      <c r="A11" s="46" t="s">
        <v>31</v>
      </c>
      <c r="B11" s="47"/>
      <c r="C11" s="47"/>
      <c r="D11" s="45"/>
      <c r="F11" s="51"/>
      <c r="G11" s="67" t="s">
        <v>27</v>
      </c>
      <c r="H11" s="52" t="s">
        <v>31</v>
      </c>
      <c r="I11" s="68">
        <v>252024.78515505145</v>
      </c>
      <c r="J11" s="76">
        <v>3074491</v>
      </c>
      <c r="K11" s="69">
        <v>774847933736.13928</v>
      </c>
    </row>
    <row r="12" spans="1:12" ht="13.5" thickTop="1">
      <c r="A12" s="48" t="s">
        <v>33</v>
      </c>
      <c r="B12" s="49" t="s">
        <v>34</v>
      </c>
      <c r="C12" s="50">
        <v>6034289</v>
      </c>
      <c r="D12" s="45"/>
      <c r="F12" s="51"/>
      <c r="G12" s="67" t="s">
        <v>28</v>
      </c>
      <c r="H12" s="52" t="s">
        <v>31</v>
      </c>
      <c r="I12" s="68">
        <v>525372.83615635301</v>
      </c>
      <c r="J12" s="76">
        <v>2824119</v>
      </c>
      <c r="K12" s="69">
        <v>1483715408673.0435</v>
      </c>
      <c r="L12">
        <f>+K12/K13</f>
        <v>0.32145740602854572</v>
      </c>
    </row>
    <row r="13" spans="1:12" ht="13.5" thickBot="1">
      <c r="A13" s="51"/>
      <c r="B13" s="52" t="s">
        <v>35</v>
      </c>
      <c r="C13" s="53">
        <v>0</v>
      </c>
      <c r="D13" s="45"/>
      <c r="F13" s="56"/>
      <c r="G13" s="70" t="s">
        <v>130</v>
      </c>
      <c r="H13" s="71" t="s">
        <v>31</v>
      </c>
      <c r="I13" s="72">
        <v>156308.95451920724</v>
      </c>
      <c r="J13" s="77">
        <v>29528631</v>
      </c>
      <c r="K13" s="73">
        <v>4615589439993.4531</v>
      </c>
    </row>
    <row r="14" spans="1:12" ht="13.5" thickTop="1">
      <c r="A14" s="51" t="s">
        <v>16</v>
      </c>
      <c r="B14" s="54"/>
      <c r="C14" s="55">
        <v>271356.69800651923</v>
      </c>
      <c r="D14" s="45">
        <f>+C17/C14</f>
        <v>0.95187185455693002</v>
      </c>
      <c r="L14">
        <f>+L12/L3</f>
        <v>2.1898952162063003</v>
      </c>
    </row>
    <row r="15" spans="1:12">
      <c r="A15" s="51" t="s">
        <v>127</v>
      </c>
      <c r="B15" s="54"/>
      <c r="C15" s="55">
        <v>201666.67</v>
      </c>
      <c r="D15" s="45"/>
      <c r="L15" s="45"/>
    </row>
    <row r="16" spans="1:12">
      <c r="A16" s="51" t="s">
        <v>128</v>
      </c>
      <c r="B16" s="54"/>
      <c r="C16" s="53">
        <v>300000</v>
      </c>
      <c r="D16" s="45"/>
      <c r="L16" s="45"/>
    </row>
    <row r="17" spans="1:12" ht="13.5" thickBot="1">
      <c r="A17" s="56" t="s">
        <v>129</v>
      </c>
      <c r="B17" s="57"/>
      <c r="C17" s="58">
        <v>258296.80337791026</v>
      </c>
      <c r="D17" s="45"/>
      <c r="L17" s="45"/>
    </row>
    <row r="18" spans="1:12" ht="13.5" thickTop="1">
      <c r="L18" s="45"/>
    </row>
    <row r="19" spans="1:12">
      <c r="L19" s="45"/>
    </row>
    <row r="20" spans="1:12">
      <c r="L20" s="45"/>
    </row>
    <row r="21" spans="1:12">
      <c r="L21" s="45"/>
    </row>
    <row r="22" spans="1:12">
      <c r="L22" s="45"/>
    </row>
    <row r="23" spans="1:12">
      <c r="L23" s="45"/>
    </row>
    <row r="24" spans="1:12">
      <c r="L24" s="45"/>
    </row>
    <row r="25" spans="1:12">
      <c r="L25" s="45"/>
    </row>
    <row r="26" spans="1:12">
      <c r="L26" s="45"/>
    </row>
  </sheetData>
  <mergeCells count="16">
    <mergeCell ref="A16:B16"/>
    <mergeCell ref="A17:B17"/>
    <mergeCell ref="F2:H2"/>
    <mergeCell ref="F3:F13"/>
    <mergeCell ref="A8:B8"/>
    <mergeCell ref="A10:C10"/>
    <mergeCell ref="A11:C11"/>
    <mergeCell ref="A12:A13"/>
    <mergeCell ref="A14:B14"/>
    <mergeCell ref="A15:B15"/>
    <mergeCell ref="A1:C1"/>
    <mergeCell ref="A2:C2"/>
    <mergeCell ref="A3:A4"/>
    <mergeCell ref="A5:B5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7902-D777-452F-847E-730B955486C2}">
  <dimension ref="A1:O114"/>
  <sheetViews>
    <sheetView topLeftCell="B72" zoomScale="85" zoomScaleNormal="85" workbookViewId="0">
      <selection activeCell="N107" sqref="N107"/>
    </sheetView>
  </sheetViews>
  <sheetFormatPr baseColWidth="10" defaultRowHeight="12.75"/>
  <cols>
    <col min="6" max="6" width="14.85546875" customWidth="1"/>
    <col min="7" max="7" width="11.42578125" style="33"/>
    <col min="13" max="14" width="13.28515625" bestFit="1" customWidth="1"/>
  </cols>
  <sheetData>
    <row r="1" spans="1:15" ht="14.25" thickTop="1" thickBot="1">
      <c r="A1" s="20" t="s">
        <v>15</v>
      </c>
      <c r="B1" s="21"/>
      <c r="C1" s="22"/>
      <c r="D1" s="23" t="s">
        <v>16</v>
      </c>
      <c r="E1" s="24" t="s">
        <v>17</v>
      </c>
      <c r="F1" s="4" t="s">
        <v>29</v>
      </c>
      <c r="G1" s="6" t="s">
        <v>0</v>
      </c>
      <c r="H1" s="6" t="s">
        <v>1</v>
      </c>
      <c r="I1" s="1" t="s">
        <v>7</v>
      </c>
      <c r="J1" s="1" t="s">
        <v>8</v>
      </c>
      <c r="K1" s="1" t="s">
        <v>13</v>
      </c>
      <c r="N1" s="25"/>
    </row>
    <row r="2" spans="1:15" ht="14.25" thickTop="1" thickBot="1">
      <c r="A2" s="26" t="s">
        <v>77</v>
      </c>
      <c r="B2" s="11" t="s">
        <v>18</v>
      </c>
      <c r="C2" s="27" t="s">
        <v>19</v>
      </c>
      <c r="D2" s="12">
        <v>8500.4341572185731</v>
      </c>
      <c r="E2" s="13">
        <v>298120</v>
      </c>
      <c r="F2" s="9">
        <f>D2*E2</f>
        <v>2534149430.9500012</v>
      </c>
      <c r="G2" s="32">
        <f t="shared" ref="G2:G33" si="0">+E2/E$101</f>
        <v>1.0095964150860904E-2</v>
      </c>
      <c r="H2" s="34">
        <f>F2/F$101</f>
        <v>5.4904134431713817E-4</v>
      </c>
      <c r="I2" s="7">
        <f>+G2</f>
        <v>1.0095964150860904E-2</v>
      </c>
      <c r="J2" s="8">
        <f>+H2</f>
        <v>5.4904134431713817E-4</v>
      </c>
      <c r="K2" s="2">
        <f>I2-J2</f>
        <v>9.5469228065437669E-3</v>
      </c>
      <c r="M2">
        <v>18000</v>
      </c>
      <c r="N2" s="10">
        <f>+M2*E2</f>
        <v>5366160000</v>
      </c>
      <c r="O2" s="78">
        <f>+N2-F2</f>
        <v>2832010569.0499988</v>
      </c>
    </row>
    <row r="3" spans="1:15" ht="13.5" thickBot="1">
      <c r="A3" s="28"/>
      <c r="B3" s="14" t="s">
        <v>20</v>
      </c>
      <c r="C3" s="29" t="s">
        <v>19</v>
      </c>
      <c r="D3" s="15">
        <v>19131.602241315373</v>
      </c>
      <c r="E3" s="16">
        <v>299409</v>
      </c>
      <c r="F3" s="9">
        <f t="shared" ref="F3:F66" si="1">D3*E3</f>
        <v>5728173895.4699945</v>
      </c>
      <c r="G3" s="32">
        <f t="shared" si="0"/>
        <v>1.0139616699467035E-2</v>
      </c>
      <c r="H3" s="34">
        <f t="shared" ref="H3:H66" si="2">F3/F$101</f>
        <v>1.2410492679084777E-3</v>
      </c>
      <c r="I3" s="7">
        <f>+G3+I2</f>
        <v>2.023558085032794E-2</v>
      </c>
      <c r="J3" s="8">
        <f>+H3+J2</f>
        <v>1.7900906122256159E-3</v>
      </c>
      <c r="K3" s="2">
        <f t="shared" ref="K3:K66" si="3">I3-J3</f>
        <v>1.8445490238102324E-2</v>
      </c>
      <c r="M3">
        <v>23000</v>
      </c>
      <c r="N3" s="10">
        <f>+M3*E3</f>
        <v>6886407000</v>
      </c>
      <c r="O3" s="78">
        <f>+N3-F3</f>
        <v>1158233104.5300055</v>
      </c>
    </row>
    <row r="4" spans="1:15" ht="13.5" thickBot="1">
      <c r="A4" s="28"/>
      <c r="B4" s="14" t="s">
        <v>21</v>
      </c>
      <c r="C4" s="29" t="s">
        <v>19</v>
      </c>
      <c r="D4" s="15">
        <v>24126.537486994628</v>
      </c>
      <c r="E4" s="16">
        <v>297954</v>
      </c>
      <c r="F4" s="9">
        <f t="shared" si="1"/>
        <v>7188598350.3999977</v>
      </c>
      <c r="G4" s="32">
        <f t="shared" si="0"/>
        <v>1.0090342488278579E-2</v>
      </c>
      <c r="H4" s="34">
        <f t="shared" si="2"/>
        <v>1.5574605245674039E-3</v>
      </c>
      <c r="I4" s="7">
        <f t="shared" ref="I4:I67" si="4">+G4+I3</f>
        <v>3.0325923338606519E-2</v>
      </c>
      <c r="J4" s="8">
        <f t="shared" ref="J4:J67" si="5">+H4+J3</f>
        <v>3.3475511367930199E-3</v>
      </c>
      <c r="K4" s="2">
        <f t="shared" si="3"/>
        <v>2.69783722018135E-2</v>
      </c>
      <c r="M4">
        <v>26500</v>
      </c>
      <c r="N4" s="10">
        <f>+M4*E4</f>
        <v>7895781000</v>
      </c>
      <c r="O4" s="78">
        <f>+N4-F4</f>
        <v>707182649.60000229</v>
      </c>
    </row>
    <row r="5" spans="1:15" ht="13.5" thickBot="1">
      <c r="A5" s="28"/>
      <c r="B5" s="14" t="s">
        <v>22</v>
      </c>
      <c r="C5" s="29" t="s">
        <v>19</v>
      </c>
      <c r="D5" s="15">
        <v>27184.616263293294</v>
      </c>
      <c r="E5" s="16">
        <v>299681</v>
      </c>
      <c r="F5" s="9">
        <f t="shared" si="1"/>
        <v>8146712986.3999977</v>
      </c>
      <c r="G5" s="32">
        <f t="shared" si="0"/>
        <v>1.0148828098397112E-2</v>
      </c>
      <c r="H5" s="34">
        <f t="shared" si="2"/>
        <v>1.7650428168090109E-3</v>
      </c>
      <c r="I5" s="7">
        <f t="shared" si="4"/>
        <v>4.0474751437003631E-2</v>
      </c>
      <c r="J5" s="8">
        <f t="shared" si="5"/>
        <v>5.112593953602031E-3</v>
      </c>
      <c r="K5" s="2">
        <f t="shared" si="3"/>
        <v>3.5362157483401602E-2</v>
      </c>
      <c r="M5">
        <v>29000</v>
      </c>
      <c r="N5" s="10">
        <f>+M5*E5</f>
        <v>8690749000</v>
      </c>
      <c r="O5" s="78">
        <f>+N5-F5</f>
        <v>544036013.60000229</v>
      </c>
    </row>
    <row r="6" spans="1:15">
      <c r="A6" s="28"/>
      <c r="B6" s="14" t="s">
        <v>23</v>
      </c>
      <c r="C6" s="29" t="s">
        <v>19</v>
      </c>
      <c r="D6" s="15">
        <v>29996.824538919645</v>
      </c>
      <c r="E6" s="16">
        <v>295198</v>
      </c>
      <c r="F6" s="9">
        <f t="shared" si="1"/>
        <v>8855002610.2400017</v>
      </c>
      <c r="G6" s="32">
        <f t="shared" si="0"/>
        <v>9.9970093432370771E-3</v>
      </c>
      <c r="H6" s="34">
        <f t="shared" si="2"/>
        <v>1.918498758471146E-3</v>
      </c>
      <c r="I6" s="7">
        <f t="shared" si="4"/>
        <v>5.047176078024071E-2</v>
      </c>
      <c r="J6" s="8">
        <f t="shared" si="5"/>
        <v>7.0310927120731774E-3</v>
      </c>
      <c r="K6" s="2">
        <f t="shared" si="3"/>
        <v>4.3440668068167529E-2</v>
      </c>
      <c r="N6" s="25"/>
    </row>
    <row r="7" spans="1:15">
      <c r="A7" s="28"/>
      <c r="B7" s="14" t="s">
        <v>24</v>
      </c>
      <c r="C7" s="29" t="s">
        <v>19</v>
      </c>
      <c r="D7" s="15">
        <v>31768.946678634758</v>
      </c>
      <c r="E7" s="16">
        <v>296622</v>
      </c>
      <c r="F7" s="9">
        <f t="shared" si="1"/>
        <v>9423368501.7099991</v>
      </c>
      <c r="G7" s="32">
        <f t="shared" si="0"/>
        <v>1.0045233725871003E-2</v>
      </c>
      <c r="H7" s="34">
        <f t="shared" si="2"/>
        <v>2.0416392368129113E-3</v>
      </c>
      <c r="I7" s="7">
        <f t="shared" si="4"/>
        <v>6.0516994506111713E-2</v>
      </c>
      <c r="J7" s="8">
        <f t="shared" si="5"/>
        <v>9.0727319488860883E-3</v>
      </c>
      <c r="K7" s="2">
        <f t="shared" si="3"/>
        <v>5.1444262557225624E-2</v>
      </c>
      <c r="N7" s="25"/>
    </row>
    <row r="8" spans="1:15">
      <c r="A8" s="28"/>
      <c r="B8" s="14" t="s">
        <v>25</v>
      </c>
      <c r="C8" s="29" t="s">
        <v>19</v>
      </c>
      <c r="D8" s="15">
        <v>33302.314543825596</v>
      </c>
      <c r="E8" s="16">
        <v>301365</v>
      </c>
      <c r="F8" s="9">
        <f t="shared" si="1"/>
        <v>10036152022.5</v>
      </c>
      <c r="G8" s="32">
        <f t="shared" si="0"/>
        <v>1.0205857494714197E-2</v>
      </c>
      <c r="H8" s="34">
        <f t="shared" si="2"/>
        <v>2.1744031077673585E-3</v>
      </c>
      <c r="I8" s="7">
        <f t="shared" si="4"/>
        <v>7.0722852000825912E-2</v>
      </c>
      <c r="J8" s="8">
        <f t="shared" si="5"/>
        <v>1.1247135056653448E-2</v>
      </c>
      <c r="K8" s="2">
        <f t="shared" si="3"/>
        <v>5.947571694417246E-2</v>
      </c>
      <c r="N8" s="25"/>
    </row>
    <row r="9" spans="1:15">
      <c r="A9" s="28"/>
      <c r="B9" s="14" t="s">
        <v>26</v>
      </c>
      <c r="C9" s="29" t="s">
        <v>19</v>
      </c>
      <c r="D9" s="15">
        <v>35185.628115447413</v>
      </c>
      <c r="E9" s="16">
        <v>297694</v>
      </c>
      <c r="F9" s="9">
        <f t="shared" si="1"/>
        <v>10474550376.200003</v>
      </c>
      <c r="G9" s="32">
        <f t="shared" si="0"/>
        <v>1.0081537474595418E-2</v>
      </c>
      <c r="H9" s="34">
        <f t="shared" si="2"/>
        <v>2.2693852025571027E-3</v>
      </c>
      <c r="I9" s="7">
        <f t="shared" si="4"/>
        <v>8.0804389475421332E-2</v>
      </c>
      <c r="J9" s="8">
        <f t="shared" si="5"/>
        <v>1.3516520259210549E-2</v>
      </c>
      <c r="K9" s="2">
        <f t="shared" si="3"/>
        <v>6.7287869216210786E-2</v>
      </c>
      <c r="N9" s="25"/>
    </row>
    <row r="10" spans="1:15">
      <c r="A10" s="28"/>
      <c r="B10" s="14" t="s">
        <v>27</v>
      </c>
      <c r="C10" s="29" t="s">
        <v>19</v>
      </c>
      <c r="D10" s="15">
        <v>37112.295676538175</v>
      </c>
      <c r="E10" s="16">
        <v>297995</v>
      </c>
      <c r="F10" s="9">
        <f t="shared" si="1"/>
        <v>11059278550.129993</v>
      </c>
      <c r="G10" s="32">
        <f t="shared" si="0"/>
        <v>1.009173097120554E-2</v>
      </c>
      <c r="H10" s="34">
        <f t="shared" si="2"/>
        <v>2.396070684775993E-3</v>
      </c>
      <c r="I10" s="7">
        <f t="shared" si="4"/>
        <v>9.0896120446626871E-2</v>
      </c>
      <c r="J10" s="8">
        <f t="shared" si="5"/>
        <v>1.5912590943986542E-2</v>
      </c>
      <c r="K10" s="2">
        <f t="shared" si="3"/>
        <v>7.4983529502640325E-2</v>
      </c>
      <c r="N10" s="25"/>
    </row>
    <row r="11" spans="1:15">
      <c r="A11" s="28"/>
      <c r="B11" s="14" t="s">
        <v>28</v>
      </c>
      <c r="C11" s="29" t="s">
        <v>19</v>
      </c>
      <c r="D11" s="15">
        <v>39258.35337142663</v>
      </c>
      <c r="E11" s="16">
        <v>296640</v>
      </c>
      <c r="F11" s="9">
        <f t="shared" si="1"/>
        <v>11645597944.099997</v>
      </c>
      <c r="G11" s="32">
        <f t="shared" si="0"/>
        <v>1.0045843303741376E-2</v>
      </c>
      <c r="H11" s="34">
        <f t="shared" si="2"/>
        <v>2.5231009160373839E-3</v>
      </c>
      <c r="I11" s="7">
        <f t="shared" si="4"/>
        <v>0.10094196375036825</v>
      </c>
      <c r="J11" s="8">
        <f t="shared" si="5"/>
        <v>1.8435691860023928E-2</v>
      </c>
      <c r="K11" s="2">
        <f t="shared" si="3"/>
        <v>8.2506271890344318E-2</v>
      </c>
      <c r="N11" s="25"/>
    </row>
    <row r="12" spans="1:15">
      <c r="A12" s="28"/>
      <c r="B12" s="14" t="s">
        <v>37</v>
      </c>
      <c r="C12" s="29" t="s">
        <v>19</v>
      </c>
      <c r="D12" s="15">
        <v>40356.134244849243</v>
      </c>
      <c r="E12" s="16">
        <v>299907</v>
      </c>
      <c r="F12" s="9">
        <f t="shared" si="1"/>
        <v>12103087152.970001</v>
      </c>
      <c r="G12" s="32">
        <f t="shared" si="0"/>
        <v>1.0156481687214013E-2</v>
      </c>
      <c r="H12" s="34">
        <f t="shared" si="2"/>
        <v>2.6222191792229961E-3</v>
      </c>
      <c r="I12" s="7">
        <f t="shared" si="4"/>
        <v>0.11109844543758227</v>
      </c>
      <c r="J12" s="8">
        <f t="shared" si="5"/>
        <v>2.1057911039246924E-2</v>
      </c>
      <c r="K12" s="2">
        <f t="shared" si="3"/>
        <v>9.0040534398335342E-2</v>
      </c>
      <c r="N12" s="25"/>
    </row>
    <row r="13" spans="1:15">
      <c r="A13" s="28"/>
      <c r="B13" s="14" t="s">
        <v>38</v>
      </c>
      <c r="C13" s="29" t="s">
        <v>19</v>
      </c>
      <c r="D13" s="15">
        <v>42797.303005950103</v>
      </c>
      <c r="E13" s="16">
        <v>297979</v>
      </c>
      <c r="F13" s="9">
        <f t="shared" si="1"/>
        <v>12752697552.410006</v>
      </c>
      <c r="G13" s="32">
        <f t="shared" si="0"/>
        <v>1.0091189124209653E-2</v>
      </c>
      <c r="H13" s="34">
        <f t="shared" si="2"/>
        <v>2.7629618531296515E-3</v>
      </c>
      <c r="I13" s="7">
        <f t="shared" si="4"/>
        <v>0.12118963456179192</v>
      </c>
      <c r="J13" s="8">
        <f t="shared" si="5"/>
        <v>2.3820872892376575E-2</v>
      </c>
      <c r="K13" s="2">
        <f t="shared" si="3"/>
        <v>9.7368761669415355E-2</v>
      </c>
      <c r="N13" s="25"/>
    </row>
    <row r="14" spans="1:15">
      <c r="A14" s="28"/>
      <c r="B14" s="14" t="s">
        <v>39</v>
      </c>
      <c r="C14" s="29" t="s">
        <v>19</v>
      </c>
      <c r="D14" s="15">
        <v>44514.885576352717</v>
      </c>
      <c r="E14" s="16">
        <v>298758</v>
      </c>
      <c r="F14" s="9">
        <f t="shared" si="1"/>
        <v>13299178185.019985</v>
      </c>
      <c r="G14" s="32">
        <f t="shared" si="0"/>
        <v>1.0117570299821892E-2</v>
      </c>
      <c r="H14" s="34">
        <f t="shared" si="2"/>
        <v>2.8813607358107664E-3</v>
      </c>
      <c r="I14" s="7">
        <f t="shared" si="4"/>
        <v>0.13130720486161382</v>
      </c>
      <c r="J14" s="8">
        <f t="shared" si="5"/>
        <v>2.6702233628187341E-2</v>
      </c>
      <c r="K14" s="2">
        <f t="shared" si="3"/>
        <v>0.10460497123342648</v>
      </c>
      <c r="N14" s="25"/>
    </row>
    <row r="15" spans="1:15">
      <c r="A15" s="28"/>
      <c r="B15" s="14" t="s">
        <v>40</v>
      </c>
      <c r="C15" s="29" t="s">
        <v>19</v>
      </c>
      <c r="D15" s="15">
        <v>46458.17502598375</v>
      </c>
      <c r="E15" s="16">
        <v>296531</v>
      </c>
      <c r="F15" s="9">
        <f t="shared" si="1"/>
        <v>13776289098.629988</v>
      </c>
      <c r="G15" s="32">
        <f t="shared" si="0"/>
        <v>1.0042151971081896E-2</v>
      </c>
      <c r="H15" s="34">
        <f t="shared" si="2"/>
        <v>2.9847301796949864E-3</v>
      </c>
      <c r="I15" s="7">
        <f t="shared" si="4"/>
        <v>0.14134935683269573</v>
      </c>
      <c r="J15" s="8">
        <f t="shared" si="5"/>
        <v>2.9686963807882327E-2</v>
      </c>
      <c r="K15" s="2">
        <f t="shared" si="3"/>
        <v>0.1116623930248134</v>
      </c>
      <c r="N15" s="25"/>
    </row>
    <row r="16" spans="1:15">
      <c r="A16" s="28"/>
      <c r="B16" s="14" t="s">
        <v>41</v>
      </c>
      <c r="C16" s="29" t="s">
        <v>19</v>
      </c>
      <c r="D16" s="15">
        <v>48389.470125143212</v>
      </c>
      <c r="E16" s="16">
        <v>301095</v>
      </c>
      <c r="F16" s="9">
        <f t="shared" si="1"/>
        <v>14569827507.329996</v>
      </c>
      <c r="G16" s="32">
        <f t="shared" si="0"/>
        <v>1.0196713826658607E-2</v>
      </c>
      <c r="H16" s="34">
        <f t="shared" si="2"/>
        <v>3.1566558717472525E-3</v>
      </c>
      <c r="I16" s="7">
        <f t="shared" si="4"/>
        <v>0.15154607065935433</v>
      </c>
      <c r="J16" s="8">
        <f t="shared" si="5"/>
        <v>3.2843619679629579E-2</v>
      </c>
      <c r="K16" s="2">
        <f t="shared" si="3"/>
        <v>0.11870245097972475</v>
      </c>
      <c r="N16" s="25"/>
    </row>
    <row r="17" spans="1:14">
      <c r="A17" s="28"/>
      <c r="B17" s="14" t="s">
        <v>42</v>
      </c>
      <c r="C17" s="29" t="s">
        <v>19</v>
      </c>
      <c r="D17" s="15">
        <v>50081.645922657408</v>
      </c>
      <c r="E17" s="16">
        <v>297223</v>
      </c>
      <c r="F17" s="9">
        <f t="shared" si="1"/>
        <v>14885417046.070004</v>
      </c>
      <c r="G17" s="32">
        <f t="shared" si="0"/>
        <v>1.0065586853654001E-2</v>
      </c>
      <c r="H17" s="34">
        <f t="shared" si="2"/>
        <v>3.2250305707630417E-3</v>
      </c>
      <c r="I17" s="7">
        <f t="shared" si="4"/>
        <v>0.16161165751300832</v>
      </c>
      <c r="J17" s="8">
        <f t="shared" si="5"/>
        <v>3.6068650250392624E-2</v>
      </c>
      <c r="K17" s="2">
        <f t="shared" si="3"/>
        <v>0.12554300726261569</v>
      </c>
      <c r="N17" s="25"/>
    </row>
    <row r="18" spans="1:14">
      <c r="A18" s="28"/>
      <c r="B18" s="14" t="s">
        <v>43</v>
      </c>
      <c r="C18" s="29" t="s">
        <v>19</v>
      </c>
      <c r="D18" s="15">
        <v>52118.37931958674</v>
      </c>
      <c r="E18" s="16">
        <v>299274</v>
      </c>
      <c r="F18" s="9">
        <f t="shared" si="1"/>
        <v>15597675852.490002</v>
      </c>
      <c r="G18" s="32">
        <f t="shared" si="0"/>
        <v>1.013504486543924E-2</v>
      </c>
      <c r="H18" s="34">
        <f t="shared" si="2"/>
        <v>3.3793464638206799E-3</v>
      </c>
      <c r="I18" s="7">
        <f t="shared" si="4"/>
        <v>0.17174670237844755</v>
      </c>
      <c r="J18" s="8">
        <f t="shared" si="5"/>
        <v>3.9447996714213306E-2</v>
      </c>
      <c r="K18" s="2">
        <f t="shared" si="3"/>
        <v>0.13229870566423424</v>
      </c>
      <c r="N18" s="25"/>
    </row>
    <row r="19" spans="1:14">
      <c r="A19" s="28"/>
      <c r="B19" s="14" t="s">
        <v>44</v>
      </c>
      <c r="C19" s="29" t="s">
        <v>19</v>
      </c>
      <c r="D19" s="15">
        <v>53972.392437623137</v>
      </c>
      <c r="E19" s="16">
        <v>297466</v>
      </c>
      <c r="F19" s="9">
        <f t="shared" si="1"/>
        <v>16054951688.850004</v>
      </c>
      <c r="G19" s="32">
        <f t="shared" si="0"/>
        <v>1.0073816154904032E-2</v>
      </c>
      <c r="H19" s="34">
        <f t="shared" si="2"/>
        <v>3.4784184983473578E-3</v>
      </c>
      <c r="I19" s="7">
        <f t="shared" si="4"/>
        <v>0.18182051853335157</v>
      </c>
      <c r="J19" s="8">
        <f t="shared" si="5"/>
        <v>4.2926415212560666E-2</v>
      </c>
      <c r="K19" s="2">
        <f t="shared" si="3"/>
        <v>0.13889410332079091</v>
      </c>
      <c r="N19" s="25"/>
    </row>
    <row r="20" spans="1:14">
      <c r="A20" s="28"/>
      <c r="B20" s="14" t="s">
        <v>45</v>
      </c>
      <c r="C20" s="29" t="s">
        <v>19</v>
      </c>
      <c r="D20" s="15">
        <v>56243.429096033055</v>
      </c>
      <c r="E20" s="16">
        <v>298241</v>
      </c>
      <c r="F20" s="9">
        <f t="shared" si="1"/>
        <v>16774096537.029995</v>
      </c>
      <c r="G20" s="32">
        <f t="shared" si="0"/>
        <v>1.01000618687673E-2</v>
      </c>
      <c r="H20" s="34">
        <f t="shared" si="2"/>
        <v>3.6342263009107091E-3</v>
      </c>
      <c r="I20" s="7">
        <f t="shared" si="4"/>
        <v>0.19192058040211887</v>
      </c>
      <c r="J20" s="8">
        <f t="shared" si="5"/>
        <v>4.6560641513471376E-2</v>
      </c>
      <c r="K20" s="2">
        <f t="shared" si="3"/>
        <v>0.14535993888864751</v>
      </c>
      <c r="N20" s="25"/>
    </row>
    <row r="21" spans="1:14">
      <c r="A21" s="28"/>
      <c r="B21" s="14" t="s">
        <v>46</v>
      </c>
      <c r="C21" s="29" t="s">
        <v>19</v>
      </c>
      <c r="D21" s="15">
        <v>57689.361832290931</v>
      </c>
      <c r="E21" s="16">
        <v>298195</v>
      </c>
      <c r="F21" s="9">
        <f t="shared" si="1"/>
        <v>17202679251.579994</v>
      </c>
      <c r="G21" s="32">
        <f t="shared" si="0"/>
        <v>1.0098504058654124E-2</v>
      </c>
      <c r="H21" s="34">
        <f t="shared" si="2"/>
        <v>3.7270817682615066E-3</v>
      </c>
      <c r="I21" s="7">
        <f t="shared" si="4"/>
        <v>0.20201908446077299</v>
      </c>
      <c r="J21" s="8">
        <f t="shared" si="5"/>
        <v>5.028772328173288E-2</v>
      </c>
      <c r="K21" s="2">
        <f t="shared" si="3"/>
        <v>0.15173136117904013</v>
      </c>
      <c r="N21" s="25"/>
    </row>
    <row r="22" spans="1:14">
      <c r="A22" s="28"/>
      <c r="B22" s="14" t="s">
        <v>47</v>
      </c>
      <c r="C22" s="29" t="s">
        <v>19</v>
      </c>
      <c r="D22" s="15">
        <v>59565.537692297396</v>
      </c>
      <c r="E22" s="16">
        <v>297924</v>
      </c>
      <c r="F22" s="9">
        <f t="shared" si="1"/>
        <v>17746003251.44001</v>
      </c>
      <c r="G22" s="32">
        <f t="shared" si="0"/>
        <v>1.0089326525161292E-2</v>
      </c>
      <c r="H22" s="34">
        <f t="shared" si="2"/>
        <v>3.8447967441976646E-3</v>
      </c>
      <c r="I22" s="7">
        <f t="shared" si="4"/>
        <v>0.21210841098593428</v>
      </c>
      <c r="J22" s="8">
        <f t="shared" si="5"/>
        <v>5.4132520025930546E-2</v>
      </c>
      <c r="K22" s="2">
        <f t="shared" si="3"/>
        <v>0.15797589096000372</v>
      </c>
      <c r="N22" s="25"/>
    </row>
    <row r="23" spans="1:14">
      <c r="A23" s="28"/>
      <c r="B23" s="14" t="s">
        <v>48</v>
      </c>
      <c r="C23" s="29" t="s">
        <v>19</v>
      </c>
      <c r="D23" s="15">
        <v>61355.676584507411</v>
      </c>
      <c r="E23" s="16">
        <v>298607</v>
      </c>
      <c r="F23" s="9">
        <f t="shared" si="1"/>
        <v>18321234517.870003</v>
      </c>
      <c r="G23" s="32">
        <f t="shared" si="0"/>
        <v>1.0112456618798209E-2</v>
      </c>
      <c r="H23" s="34">
        <f t="shared" si="2"/>
        <v>3.9694246544371868E-3</v>
      </c>
      <c r="I23" s="7">
        <f t="shared" si="4"/>
        <v>0.22222086760473247</v>
      </c>
      <c r="J23" s="8">
        <f t="shared" si="5"/>
        <v>5.810194468036773E-2</v>
      </c>
      <c r="K23" s="2">
        <f t="shared" si="3"/>
        <v>0.16411892292436475</v>
      </c>
      <c r="N23" s="25"/>
    </row>
    <row r="24" spans="1:14">
      <c r="A24" s="28"/>
      <c r="B24" s="14" t="s">
        <v>49</v>
      </c>
      <c r="C24" s="29" t="s">
        <v>19</v>
      </c>
      <c r="D24" s="15">
        <v>63279.988038342111</v>
      </c>
      <c r="E24" s="16">
        <v>298314</v>
      </c>
      <c r="F24" s="9">
        <f t="shared" si="1"/>
        <v>18877306351.669987</v>
      </c>
      <c r="G24" s="32">
        <f t="shared" si="0"/>
        <v>1.0102534045686033E-2</v>
      </c>
      <c r="H24" s="34">
        <f t="shared" si="2"/>
        <v>4.089901538490542E-3</v>
      </c>
      <c r="I24" s="7">
        <f t="shared" si="4"/>
        <v>0.23232340165041851</v>
      </c>
      <c r="J24" s="8">
        <f t="shared" si="5"/>
        <v>6.2191846218858274E-2</v>
      </c>
      <c r="K24" s="2">
        <f t="shared" si="3"/>
        <v>0.17013155543156022</v>
      </c>
      <c r="N24" s="25"/>
    </row>
    <row r="25" spans="1:14">
      <c r="A25" s="28"/>
      <c r="B25" s="14" t="s">
        <v>50</v>
      </c>
      <c r="C25" s="29" t="s">
        <v>19</v>
      </c>
      <c r="D25" s="15">
        <v>65074.406006654157</v>
      </c>
      <c r="E25" s="16">
        <v>298459</v>
      </c>
      <c r="F25" s="9">
        <f t="shared" si="1"/>
        <v>19422042142.339993</v>
      </c>
      <c r="G25" s="32">
        <f t="shared" si="0"/>
        <v>1.0107444534086256E-2</v>
      </c>
      <c r="H25" s="34">
        <f t="shared" si="2"/>
        <v>4.2079223888612316E-3</v>
      </c>
      <c r="I25" s="7">
        <f t="shared" si="4"/>
        <v>0.24243084618450478</v>
      </c>
      <c r="J25" s="8">
        <f t="shared" si="5"/>
        <v>6.6399768607719512E-2</v>
      </c>
      <c r="K25" s="2">
        <f t="shared" si="3"/>
        <v>0.17603107757678527</v>
      </c>
      <c r="N25" s="25"/>
    </row>
    <row r="26" spans="1:14">
      <c r="A26" s="28"/>
      <c r="B26" s="14" t="s">
        <v>51</v>
      </c>
      <c r="C26" s="29" t="s">
        <v>19</v>
      </c>
      <c r="D26" s="15">
        <v>66958.544682259977</v>
      </c>
      <c r="E26" s="16">
        <v>297948</v>
      </c>
      <c r="F26" s="9">
        <f t="shared" si="1"/>
        <v>19950164470.989994</v>
      </c>
      <c r="G26" s="32">
        <f t="shared" si="0"/>
        <v>1.0090139295655122E-2</v>
      </c>
      <c r="H26" s="34">
        <f t="shared" si="2"/>
        <v>4.322343815531874E-3</v>
      </c>
      <c r="I26" s="7">
        <f t="shared" si="4"/>
        <v>0.25252098548015989</v>
      </c>
      <c r="J26" s="8">
        <f t="shared" si="5"/>
        <v>7.0722112423251382E-2</v>
      </c>
      <c r="K26" s="2">
        <f t="shared" si="3"/>
        <v>0.18179887305690851</v>
      </c>
      <c r="N26" s="25"/>
    </row>
    <row r="27" spans="1:14">
      <c r="A27" s="28"/>
      <c r="B27" s="14" t="s">
        <v>52</v>
      </c>
      <c r="C27" s="29" t="s">
        <v>19</v>
      </c>
      <c r="D27" s="15">
        <v>68618.073932304149</v>
      </c>
      <c r="E27" s="16">
        <v>298423</v>
      </c>
      <c r="F27" s="9">
        <f t="shared" si="1"/>
        <v>20477211477.100002</v>
      </c>
      <c r="G27" s="32">
        <f t="shared" si="0"/>
        <v>1.0106225378345511E-2</v>
      </c>
      <c r="H27" s="34">
        <f t="shared" si="2"/>
        <v>4.4365322659913574E-3</v>
      </c>
      <c r="I27" s="7">
        <f t="shared" si="4"/>
        <v>0.26262721085850538</v>
      </c>
      <c r="J27" s="8">
        <f t="shared" si="5"/>
        <v>7.5158644689242743E-2</v>
      </c>
      <c r="K27" s="2">
        <f t="shared" si="3"/>
        <v>0.18746856616926263</v>
      </c>
      <c r="N27" s="25"/>
    </row>
    <row r="28" spans="1:14">
      <c r="A28" s="28"/>
      <c r="B28" s="14" t="s">
        <v>53</v>
      </c>
      <c r="C28" s="29" t="s">
        <v>19</v>
      </c>
      <c r="D28" s="15">
        <v>70604.360157013798</v>
      </c>
      <c r="E28" s="16">
        <v>297044</v>
      </c>
      <c r="F28" s="9">
        <f t="shared" si="1"/>
        <v>20972601558.480007</v>
      </c>
      <c r="G28" s="32">
        <f t="shared" si="0"/>
        <v>1.0059524940387518E-2</v>
      </c>
      <c r="H28" s="34">
        <f t="shared" si="2"/>
        <v>4.5438620204724459E-3</v>
      </c>
      <c r="I28" s="7">
        <f t="shared" si="4"/>
        <v>0.27268673579889291</v>
      </c>
      <c r="J28" s="8">
        <f t="shared" si="5"/>
        <v>7.9702506709715182E-2</v>
      </c>
      <c r="K28" s="2">
        <f t="shared" si="3"/>
        <v>0.19298422908917773</v>
      </c>
      <c r="N28" s="25"/>
    </row>
    <row r="29" spans="1:14">
      <c r="A29" s="28"/>
      <c r="B29" s="14" t="s">
        <v>54</v>
      </c>
      <c r="C29" s="29" t="s">
        <v>19</v>
      </c>
      <c r="D29" s="15">
        <v>72608.646314288359</v>
      </c>
      <c r="E29" s="16">
        <v>300482</v>
      </c>
      <c r="F29" s="9">
        <f t="shared" si="1"/>
        <v>21817591261.809994</v>
      </c>
      <c r="G29" s="32">
        <f t="shared" si="0"/>
        <v>1.0175954313628695E-2</v>
      </c>
      <c r="H29" s="34">
        <f t="shared" si="2"/>
        <v>4.7269349983262085E-3</v>
      </c>
      <c r="I29" s="7">
        <f t="shared" si="4"/>
        <v>0.28286269011252163</v>
      </c>
      <c r="J29" s="8">
        <f t="shared" si="5"/>
        <v>8.4429441708041397E-2</v>
      </c>
      <c r="K29" s="2">
        <f t="shared" si="3"/>
        <v>0.19843324840448023</v>
      </c>
      <c r="N29" s="25"/>
    </row>
    <row r="30" spans="1:14">
      <c r="A30" s="28"/>
      <c r="B30" s="14" t="s">
        <v>55</v>
      </c>
      <c r="C30" s="29" t="s">
        <v>19</v>
      </c>
      <c r="D30" s="15">
        <v>74678.599880456299</v>
      </c>
      <c r="E30" s="16">
        <v>296628</v>
      </c>
      <c r="F30" s="9">
        <f t="shared" si="1"/>
        <v>22151763725.339993</v>
      </c>
      <c r="G30" s="32">
        <f t="shared" si="0"/>
        <v>1.0045436918494461E-2</v>
      </c>
      <c r="H30" s="34">
        <f t="shared" si="2"/>
        <v>4.7993358190392557E-3</v>
      </c>
      <c r="I30" s="7">
        <f t="shared" si="4"/>
        <v>0.2929081270310161</v>
      </c>
      <c r="J30" s="8">
        <f t="shared" si="5"/>
        <v>8.9228777527080652E-2</v>
      </c>
      <c r="K30" s="2">
        <f t="shared" si="3"/>
        <v>0.20367934950393546</v>
      </c>
      <c r="N30" s="25"/>
    </row>
    <row r="31" spans="1:14">
      <c r="A31" s="28"/>
      <c r="B31" s="14" t="s">
        <v>56</v>
      </c>
      <c r="C31" s="29" t="s">
        <v>19</v>
      </c>
      <c r="D31" s="15">
        <v>75671.761863335996</v>
      </c>
      <c r="E31" s="16">
        <v>298835</v>
      </c>
      <c r="F31" s="9">
        <f t="shared" si="1"/>
        <v>22613370956.430012</v>
      </c>
      <c r="G31" s="32">
        <f t="shared" si="0"/>
        <v>1.0120177938489596E-2</v>
      </c>
      <c r="H31" s="34">
        <f t="shared" si="2"/>
        <v>4.8993462807779562E-3</v>
      </c>
      <c r="I31" s="7">
        <f t="shared" si="4"/>
        <v>0.30302830496950567</v>
      </c>
      <c r="J31" s="8">
        <f t="shared" si="5"/>
        <v>9.4128123807858607E-2</v>
      </c>
      <c r="K31" s="2">
        <f t="shared" si="3"/>
        <v>0.20890018116164705</v>
      </c>
      <c r="N31" s="25"/>
    </row>
    <row r="32" spans="1:14">
      <c r="A32" s="28"/>
      <c r="B32" s="14" t="s">
        <v>57</v>
      </c>
      <c r="C32" s="29" t="s">
        <v>19</v>
      </c>
      <c r="D32" s="15">
        <v>78339.045055020775</v>
      </c>
      <c r="E32" s="16">
        <v>298705</v>
      </c>
      <c r="F32" s="9">
        <f t="shared" si="1"/>
        <v>23400264453.159981</v>
      </c>
      <c r="G32" s="32">
        <f t="shared" si="0"/>
        <v>1.0115775431648016E-2</v>
      </c>
      <c r="H32" s="34">
        <f t="shared" si="2"/>
        <v>5.0698323057938822E-3</v>
      </c>
      <c r="I32" s="7">
        <f t="shared" si="4"/>
        <v>0.31314408040115371</v>
      </c>
      <c r="J32" s="8">
        <f t="shared" si="5"/>
        <v>9.9197956113652494E-2</v>
      </c>
      <c r="K32" s="2">
        <f t="shared" si="3"/>
        <v>0.2139461242875012</v>
      </c>
      <c r="N32" s="25"/>
    </row>
    <row r="33" spans="1:14">
      <c r="A33" s="28"/>
      <c r="B33" s="14" t="s">
        <v>58</v>
      </c>
      <c r="C33" s="29" t="s">
        <v>19</v>
      </c>
      <c r="D33" s="15">
        <v>79953.95625761144</v>
      </c>
      <c r="E33" s="16">
        <v>297906</v>
      </c>
      <c r="F33" s="9">
        <f t="shared" si="1"/>
        <v>23818763292.879993</v>
      </c>
      <c r="G33" s="32">
        <f t="shared" si="0"/>
        <v>1.0088716947290919E-2</v>
      </c>
      <c r="H33" s="34">
        <f t="shared" si="2"/>
        <v>5.1605030305541429E-3</v>
      </c>
      <c r="I33" s="7">
        <f t="shared" si="4"/>
        <v>0.32323279734844462</v>
      </c>
      <c r="J33" s="8">
        <f t="shared" si="5"/>
        <v>0.10435845914420663</v>
      </c>
      <c r="K33" s="2">
        <f t="shared" si="3"/>
        <v>0.21887433820423799</v>
      </c>
      <c r="N33" s="25"/>
    </row>
    <row r="34" spans="1:14">
      <c r="A34" s="28"/>
      <c r="B34" s="14" t="s">
        <v>59</v>
      </c>
      <c r="C34" s="29" t="s">
        <v>19</v>
      </c>
      <c r="D34" s="15">
        <v>81025.917368990238</v>
      </c>
      <c r="E34" s="16">
        <v>297745</v>
      </c>
      <c r="F34" s="9">
        <f t="shared" si="1"/>
        <v>24125061767.029999</v>
      </c>
      <c r="G34" s="32">
        <f t="shared" ref="G34:G65" si="6">+E34/E$101</f>
        <v>1.0083264611894809E-2</v>
      </c>
      <c r="H34" s="34">
        <f t="shared" si="2"/>
        <v>5.2268647549085596E-3</v>
      </c>
      <c r="I34" s="7">
        <f t="shared" si="4"/>
        <v>0.33331606196033942</v>
      </c>
      <c r="J34" s="8">
        <f t="shared" si="5"/>
        <v>0.1095853238991152</v>
      </c>
      <c r="K34" s="2">
        <f t="shared" si="3"/>
        <v>0.22373073806122423</v>
      </c>
      <c r="N34" s="25"/>
    </row>
    <row r="35" spans="1:14">
      <c r="A35" s="28"/>
      <c r="B35" s="14" t="s">
        <v>60</v>
      </c>
      <c r="C35" s="29" t="s">
        <v>19</v>
      </c>
      <c r="D35" s="15">
        <v>83019.31097729216</v>
      </c>
      <c r="E35" s="16">
        <v>298795</v>
      </c>
      <c r="F35" s="9">
        <f t="shared" si="1"/>
        <v>24805755023.460011</v>
      </c>
      <c r="G35" s="32">
        <f t="shared" si="6"/>
        <v>1.011882332099988E-2</v>
      </c>
      <c r="H35" s="34">
        <f t="shared" si="2"/>
        <v>5.3743417489695777E-3</v>
      </c>
      <c r="I35" s="7">
        <f t="shared" si="4"/>
        <v>0.34343488528133931</v>
      </c>
      <c r="J35" s="8">
        <f t="shared" si="5"/>
        <v>0.11495966564808477</v>
      </c>
      <c r="K35" s="2">
        <f t="shared" si="3"/>
        <v>0.22847521963325454</v>
      </c>
      <c r="N35" s="25"/>
    </row>
    <row r="36" spans="1:14">
      <c r="A36" s="28"/>
      <c r="B36" s="14" t="s">
        <v>61</v>
      </c>
      <c r="C36" s="29" t="s">
        <v>19</v>
      </c>
      <c r="D36" s="15">
        <v>84145.10582290031</v>
      </c>
      <c r="E36" s="16">
        <v>298092</v>
      </c>
      <c r="F36" s="9">
        <f t="shared" si="1"/>
        <v>25082982884.959999</v>
      </c>
      <c r="G36" s="32">
        <f t="shared" si="6"/>
        <v>1.0095015918618104E-2</v>
      </c>
      <c r="H36" s="34">
        <f t="shared" si="2"/>
        <v>5.4344051200956667E-3</v>
      </c>
      <c r="I36" s="7">
        <f t="shared" si="4"/>
        <v>0.35352990119995742</v>
      </c>
      <c r="J36" s="8">
        <f t="shared" si="5"/>
        <v>0.12039407076818044</v>
      </c>
      <c r="K36" s="2">
        <f t="shared" si="3"/>
        <v>0.23313583043177699</v>
      </c>
      <c r="N36" s="25"/>
    </row>
    <row r="37" spans="1:14">
      <c r="A37" s="28"/>
      <c r="B37" s="14" t="s">
        <v>62</v>
      </c>
      <c r="C37" s="29" t="s">
        <v>19</v>
      </c>
      <c r="D37" s="15">
        <v>85769.02956229652</v>
      </c>
      <c r="E37" s="16">
        <v>298307</v>
      </c>
      <c r="F37" s="9">
        <f t="shared" si="1"/>
        <v>25585501901.639988</v>
      </c>
      <c r="G37" s="32">
        <f t="shared" si="6"/>
        <v>1.0102296987625332E-2</v>
      </c>
      <c r="H37" s="34">
        <f t="shared" si="2"/>
        <v>5.5432794086807237E-3</v>
      </c>
      <c r="I37" s="7">
        <f t="shared" si="4"/>
        <v>0.36363219818758274</v>
      </c>
      <c r="J37" s="8">
        <f t="shared" si="5"/>
        <v>0.12593735017686117</v>
      </c>
      <c r="K37" s="2">
        <f t="shared" si="3"/>
        <v>0.23769484801072158</v>
      </c>
      <c r="N37" s="25"/>
    </row>
    <row r="38" spans="1:14">
      <c r="A38" s="28"/>
      <c r="B38" s="14" t="s">
        <v>63</v>
      </c>
      <c r="C38" s="29" t="s">
        <v>19</v>
      </c>
      <c r="D38" s="15">
        <v>87912.491009508696</v>
      </c>
      <c r="E38" s="16">
        <v>300146</v>
      </c>
      <c r="F38" s="9">
        <f t="shared" si="1"/>
        <v>26386582526.539997</v>
      </c>
      <c r="G38" s="32">
        <f t="shared" si="6"/>
        <v>1.0164575526715071E-2</v>
      </c>
      <c r="H38" s="34">
        <f t="shared" si="2"/>
        <v>5.716839175058286E-3</v>
      </c>
      <c r="I38" s="7">
        <f t="shared" si="4"/>
        <v>0.37379677371429781</v>
      </c>
      <c r="J38" s="8">
        <f t="shared" si="5"/>
        <v>0.13165418935191944</v>
      </c>
      <c r="K38" s="2">
        <f t="shared" si="3"/>
        <v>0.24214258436237837</v>
      </c>
      <c r="N38" s="25"/>
    </row>
    <row r="39" spans="1:14">
      <c r="A39" s="28"/>
      <c r="B39" s="14" t="s">
        <v>64</v>
      </c>
      <c r="C39" s="29" t="s">
        <v>19</v>
      </c>
      <c r="D39" s="15">
        <v>89674.519113998118</v>
      </c>
      <c r="E39" s="16">
        <v>297110</v>
      </c>
      <c r="F39" s="9">
        <f t="shared" si="1"/>
        <v>26643196373.95998</v>
      </c>
      <c r="G39" s="32">
        <f t="shared" si="6"/>
        <v>1.0061760059245551E-2</v>
      </c>
      <c r="H39" s="34">
        <f t="shared" si="2"/>
        <v>5.7724363746697715E-3</v>
      </c>
      <c r="I39" s="7">
        <f t="shared" si="4"/>
        <v>0.38385853377354334</v>
      </c>
      <c r="J39" s="8">
        <f t="shared" si="5"/>
        <v>0.1374266257265892</v>
      </c>
      <c r="K39" s="2">
        <f t="shared" si="3"/>
        <v>0.24643190804695414</v>
      </c>
      <c r="N39" s="25"/>
    </row>
    <row r="40" spans="1:14">
      <c r="A40" s="28"/>
      <c r="B40" s="14" t="s">
        <v>65</v>
      </c>
      <c r="C40" s="29" t="s">
        <v>19</v>
      </c>
      <c r="D40" s="15">
        <v>90627.37531355898</v>
      </c>
      <c r="E40" s="16">
        <v>298030</v>
      </c>
      <c r="F40" s="9">
        <f t="shared" si="1"/>
        <v>27009676664.699982</v>
      </c>
      <c r="G40" s="32">
        <f t="shared" si="6"/>
        <v>1.0092916261509042E-2</v>
      </c>
      <c r="H40" s="34">
        <f t="shared" si="2"/>
        <v>5.8518369139734837E-3</v>
      </c>
      <c r="I40" s="7">
        <f t="shared" si="4"/>
        <v>0.39395145003505239</v>
      </c>
      <c r="J40" s="8">
        <f t="shared" si="5"/>
        <v>0.14327846264056268</v>
      </c>
      <c r="K40" s="2">
        <f t="shared" si="3"/>
        <v>0.25067298739448973</v>
      </c>
      <c r="N40" s="25"/>
    </row>
    <row r="41" spans="1:14">
      <c r="A41" s="28"/>
      <c r="B41" s="14" t="s">
        <v>66</v>
      </c>
      <c r="C41" s="29" t="s">
        <v>19</v>
      </c>
      <c r="D41" s="15">
        <v>93053.86710041108</v>
      </c>
      <c r="E41" s="16">
        <v>297049</v>
      </c>
      <c r="F41" s="9">
        <f t="shared" si="1"/>
        <v>27641558168.310013</v>
      </c>
      <c r="G41" s="32">
        <f t="shared" si="6"/>
        <v>1.0059694267573732E-2</v>
      </c>
      <c r="H41" s="34">
        <f t="shared" si="2"/>
        <v>5.9887384975794399E-3</v>
      </c>
      <c r="I41" s="7">
        <f t="shared" si="4"/>
        <v>0.40401114430262614</v>
      </c>
      <c r="J41" s="8">
        <f t="shared" si="5"/>
        <v>0.14926720113814212</v>
      </c>
      <c r="K41" s="2">
        <f t="shared" si="3"/>
        <v>0.25474394316448401</v>
      </c>
      <c r="N41" s="25"/>
    </row>
    <row r="42" spans="1:14">
      <c r="A42" s="28"/>
      <c r="B42" s="14" t="s">
        <v>67</v>
      </c>
      <c r="C42" s="29" t="s">
        <v>19</v>
      </c>
      <c r="D42" s="15">
        <v>95542.292045033464</v>
      </c>
      <c r="E42" s="16">
        <v>299066</v>
      </c>
      <c r="F42" s="9">
        <f t="shared" si="1"/>
        <v>28573451112.739979</v>
      </c>
      <c r="G42" s="32">
        <f t="shared" si="6"/>
        <v>1.0128000854492713E-2</v>
      </c>
      <c r="H42" s="34">
        <f t="shared" si="2"/>
        <v>6.1906396754344796E-3</v>
      </c>
      <c r="I42" s="7">
        <f t="shared" si="4"/>
        <v>0.41413914515711886</v>
      </c>
      <c r="J42" s="8">
        <f t="shared" si="5"/>
        <v>0.15545784081357661</v>
      </c>
      <c r="K42" s="2">
        <f t="shared" si="3"/>
        <v>0.25868130434354225</v>
      </c>
      <c r="N42" s="25"/>
    </row>
    <row r="43" spans="1:14">
      <c r="A43" s="28"/>
      <c r="B43" s="14" t="s">
        <v>68</v>
      </c>
      <c r="C43" s="29" t="s">
        <v>19</v>
      </c>
      <c r="D43" s="15">
        <v>97939.196144636895</v>
      </c>
      <c r="E43" s="16">
        <v>298527</v>
      </c>
      <c r="F43" s="9">
        <f t="shared" si="1"/>
        <v>29237494407.470016</v>
      </c>
      <c r="G43" s="32">
        <f t="shared" si="6"/>
        <v>1.0109747383818776E-2</v>
      </c>
      <c r="H43" s="34">
        <f t="shared" si="2"/>
        <v>6.3345093378823977E-3</v>
      </c>
      <c r="I43" s="7">
        <f t="shared" si="4"/>
        <v>0.42424889254093762</v>
      </c>
      <c r="J43" s="8">
        <f t="shared" si="5"/>
        <v>0.16179235015145901</v>
      </c>
      <c r="K43" s="2">
        <f t="shared" si="3"/>
        <v>0.26245654238947858</v>
      </c>
      <c r="N43" s="25"/>
    </row>
    <row r="44" spans="1:14">
      <c r="A44" s="28"/>
      <c r="B44" s="14" t="s">
        <v>69</v>
      </c>
      <c r="C44" s="29" t="s">
        <v>19</v>
      </c>
      <c r="D44" s="15">
        <v>99949.411283711612</v>
      </c>
      <c r="E44" s="16">
        <v>298673</v>
      </c>
      <c r="F44" s="9">
        <f t="shared" si="1"/>
        <v>29852190516.339996</v>
      </c>
      <c r="G44" s="32">
        <f t="shared" si="6"/>
        <v>1.0114691737656244E-2</v>
      </c>
      <c r="H44" s="34">
        <f t="shared" si="2"/>
        <v>6.4676875845314005E-3</v>
      </c>
      <c r="I44" s="7">
        <f t="shared" si="4"/>
        <v>0.43436358427859384</v>
      </c>
      <c r="J44" s="8">
        <f t="shared" si="5"/>
        <v>0.16826003773599041</v>
      </c>
      <c r="K44" s="2">
        <f t="shared" si="3"/>
        <v>0.26610354654260343</v>
      </c>
      <c r="N44" s="25"/>
    </row>
    <row r="45" spans="1:14">
      <c r="A45" s="28"/>
      <c r="B45" s="14" t="s">
        <v>70</v>
      </c>
      <c r="C45" s="29" t="s">
        <v>19</v>
      </c>
      <c r="D45" s="15">
        <v>100000</v>
      </c>
      <c r="E45" s="16">
        <v>296385</v>
      </c>
      <c r="F45" s="9">
        <f t="shared" si="1"/>
        <v>29638500000</v>
      </c>
      <c r="G45" s="32">
        <f t="shared" si="6"/>
        <v>1.003720761724443E-2</v>
      </c>
      <c r="H45" s="34">
        <f t="shared" si="2"/>
        <v>6.4213900272815294E-3</v>
      </c>
      <c r="I45" s="7">
        <f t="shared" si="4"/>
        <v>0.44440079189583825</v>
      </c>
      <c r="J45" s="8">
        <f t="shared" si="5"/>
        <v>0.17468142776327195</v>
      </c>
      <c r="K45" s="2">
        <f t="shared" si="3"/>
        <v>0.26971936413256631</v>
      </c>
      <c r="N45" s="25"/>
    </row>
    <row r="46" spans="1:14">
      <c r="A46" s="28"/>
      <c r="B46" s="14" t="s">
        <v>71</v>
      </c>
      <c r="C46" s="29" t="s">
        <v>19</v>
      </c>
      <c r="D46" s="15">
        <v>101522.54978097034</v>
      </c>
      <c r="E46" s="16">
        <v>299868</v>
      </c>
      <c r="F46" s="9">
        <f t="shared" si="1"/>
        <v>30443363957.720013</v>
      </c>
      <c r="G46" s="32">
        <f t="shared" si="6"/>
        <v>1.0155160935161538E-2</v>
      </c>
      <c r="H46" s="34">
        <f t="shared" si="2"/>
        <v>6.595769479393534E-3</v>
      </c>
      <c r="I46" s="7">
        <f t="shared" si="4"/>
        <v>0.45455595283099981</v>
      </c>
      <c r="J46" s="8">
        <f t="shared" si="5"/>
        <v>0.18127719724266547</v>
      </c>
      <c r="K46" s="2">
        <f t="shared" si="3"/>
        <v>0.27327875558833437</v>
      </c>
      <c r="N46" s="25"/>
    </row>
    <row r="47" spans="1:14">
      <c r="A47" s="28"/>
      <c r="B47" s="14" t="s">
        <v>72</v>
      </c>
      <c r="C47" s="29" t="s">
        <v>19</v>
      </c>
      <c r="D47" s="15">
        <v>104376.32554333536</v>
      </c>
      <c r="E47" s="16">
        <v>298048</v>
      </c>
      <c r="F47" s="9">
        <f t="shared" si="1"/>
        <v>31109155075.54002</v>
      </c>
      <c r="G47" s="32">
        <f t="shared" si="6"/>
        <v>1.0093525839379414E-2</v>
      </c>
      <c r="H47" s="34">
        <f t="shared" si="2"/>
        <v>6.7400178200390463E-3</v>
      </c>
      <c r="I47" s="7">
        <f t="shared" si="4"/>
        <v>0.4646494786703792</v>
      </c>
      <c r="J47" s="8">
        <f t="shared" si="5"/>
        <v>0.18801721506270452</v>
      </c>
      <c r="K47" s="2">
        <f t="shared" si="3"/>
        <v>0.27663226360767468</v>
      </c>
      <c r="N47" s="25"/>
    </row>
    <row r="48" spans="1:14">
      <c r="A48" s="28"/>
      <c r="B48" s="14" t="s">
        <v>73</v>
      </c>
      <c r="C48" s="29" t="s">
        <v>19</v>
      </c>
      <c r="D48" s="15">
        <v>106780.99779300191</v>
      </c>
      <c r="E48" s="16">
        <v>298283</v>
      </c>
      <c r="F48" s="9">
        <f t="shared" si="1"/>
        <v>31850956364.689987</v>
      </c>
      <c r="G48" s="32">
        <f t="shared" si="6"/>
        <v>1.0101484217131501E-2</v>
      </c>
      <c r="H48" s="34">
        <f t="shared" si="2"/>
        <v>6.900734300305327E-3</v>
      </c>
      <c r="I48" s="7">
        <f t="shared" si="4"/>
        <v>0.47475096288751073</v>
      </c>
      <c r="J48" s="8">
        <f t="shared" si="5"/>
        <v>0.19491794936300985</v>
      </c>
      <c r="K48" s="2">
        <f t="shared" si="3"/>
        <v>0.27983301352450085</v>
      </c>
      <c r="N48" s="25"/>
    </row>
    <row r="49" spans="1:14">
      <c r="A49" s="28"/>
      <c r="B49" s="14" t="s">
        <v>74</v>
      </c>
      <c r="C49" s="29" t="s">
        <v>19</v>
      </c>
      <c r="D49" s="15">
        <v>109080.19373084721</v>
      </c>
      <c r="E49" s="16">
        <v>300870</v>
      </c>
      <c r="F49" s="9">
        <f t="shared" si="1"/>
        <v>32818957887.799999</v>
      </c>
      <c r="G49" s="32">
        <f t="shared" si="6"/>
        <v>1.0189094103278951E-2</v>
      </c>
      <c r="H49" s="34">
        <f t="shared" si="2"/>
        <v>7.1104586563588371E-3</v>
      </c>
      <c r="I49" s="7">
        <f t="shared" si="4"/>
        <v>0.48494005699078968</v>
      </c>
      <c r="J49" s="8">
        <f t="shared" si="5"/>
        <v>0.20202840801936869</v>
      </c>
      <c r="K49" s="2">
        <f t="shared" si="3"/>
        <v>0.28291164897142096</v>
      </c>
      <c r="N49" s="25"/>
    </row>
    <row r="50" spans="1:14">
      <c r="A50" s="28"/>
      <c r="B50" s="14" t="s">
        <v>75</v>
      </c>
      <c r="C50" s="29" t="s">
        <v>19</v>
      </c>
      <c r="D50" s="15">
        <v>111120.39961705299</v>
      </c>
      <c r="E50" s="16">
        <v>294166</v>
      </c>
      <c r="F50" s="9">
        <f t="shared" si="1"/>
        <v>32687843473.750008</v>
      </c>
      <c r="G50" s="32">
        <f t="shared" si="6"/>
        <v>9.9620602120023775E-3</v>
      </c>
      <c r="H50" s="34">
        <f t="shared" si="2"/>
        <v>7.0820517939733096E-3</v>
      </c>
      <c r="I50" s="7">
        <f t="shared" si="4"/>
        <v>0.49490211720279204</v>
      </c>
      <c r="J50" s="8">
        <f t="shared" si="5"/>
        <v>0.209110459813342</v>
      </c>
      <c r="K50" s="2">
        <f t="shared" si="3"/>
        <v>0.28579165738945</v>
      </c>
      <c r="N50" s="25"/>
    </row>
    <row r="51" spans="1:14">
      <c r="A51" s="28"/>
      <c r="B51" s="14" t="s">
        <v>76</v>
      </c>
      <c r="C51" s="29" t="s">
        <v>19</v>
      </c>
      <c r="D51" s="15">
        <v>113747.09152465319</v>
      </c>
      <c r="E51" s="16">
        <v>299596</v>
      </c>
      <c r="F51" s="9">
        <f t="shared" si="1"/>
        <v>34078173632.419998</v>
      </c>
      <c r="G51" s="32">
        <f t="shared" si="6"/>
        <v>1.0145949536231463E-2</v>
      </c>
      <c r="H51" s="34">
        <f t="shared" si="2"/>
        <v>7.3832766270624404E-3</v>
      </c>
      <c r="I51" s="7">
        <f t="shared" si="4"/>
        <v>0.50504806673902347</v>
      </c>
      <c r="J51" s="8">
        <f t="shared" si="5"/>
        <v>0.21649373644040446</v>
      </c>
      <c r="K51" s="2">
        <f t="shared" si="3"/>
        <v>0.28855433029861899</v>
      </c>
      <c r="N51" s="25"/>
    </row>
    <row r="52" spans="1:14">
      <c r="A52" s="28"/>
      <c r="B52" s="14" t="s">
        <v>78</v>
      </c>
      <c r="C52" s="29" t="s">
        <v>19</v>
      </c>
      <c r="D52" s="15">
        <v>115982.02912766271</v>
      </c>
      <c r="E52" s="16">
        <v>300675</v>
      </c>
      <c r="F52" s="9">
        <f t="shared" si="1"/>
        <v>34872896607.959984</v>
      </c>
      <c r="G52" s="32">
        <f t="shared" si="6"/>
        <v>1.0182490343016579E-2</v>
      </c>
      <c r="H52" s="34">
        <f t="shared" si="2"/>
        <v>7.5554589638738168E-3</v>
      </c>
      <c r="I52" s="7">
        <f t="shared" si="4"/>
        <v>0.51523055708204002</v>
      </c>
      <c r="J52" s="8">
        <f t="shared" si="5"/>
        <v>0.22404919540427828</v>
      </c>
      <c r="K52" s="2">
        <f t="shared" si="3"/>
        <v>0.29118136167776176</v>
      </c>
      <c r="N52" s="25"/>
    </row>
    <row r="53" spans="1:14">
      <c r="A53" s="28"/>
      <c r="B53" s="14" t="s">
        <v>79</v>
      </c>
      <c r="C53" s="29" t="s">
        <v>19</v>
      </c>
      <c r="D53" s="15">
        <v>118459.17322295895</v>
      </c>
      <c r="E53" s="16">
        <v>295902</v>
      </c>
      <c r="F53" s="9">
        <f t="shared" si="1"/>
        <v>35052306275.020004</v>
      </c>
      <c r="G53" s="32">
        <f t="shared" si="6"/>
        <v>1.0020850611056096E-2</v>
      </c>
      <c r="H53" s="34">
        <f t="shared" si="2"/>
        <v>7.5943293333883711E-3</v>
      </c>
      <c r="I53" s="7">
        <f t="shared" si="4"/>
        <v>0.52525140769309608</v>
      </c>
      <c r="J53" s="8">
        <f t="shared" si="5"/>
        <v>0.23164352473766667</v>
      </c>
      <c r="K53" s="2">
        <f t="shared" si="3"/>
        <v>0.29360788295542939</v>
      </c>
      <c r="N53" s="25"/>
    </row>
    <row r="54" spans="1:14">
      <c r="A54" s="28"/>
      <c r="B54" s="14" t="s">
        <v>80</v>
      </c>
      <c r="C54" s="29" t="s">
        <v>19</v>
      </c>
      <c r="D54" s="15">
        <v>120000</v>
      </c>
      <c r="E54" s="16">
        <v>298577</v>
      </c>
      <c r="F54" s="9">
        <f t="shared" si="1"/>
        <v>35829240000</v>
      </c>
      <c r="G54" s="32">
        <f t="shared" si="6"/>
        <v>1.0111440655680922E-2</v>
      </c>
      <c r="H54" s="34">
        <f t="shared" si="2"/>
        <v>7.7626575036211839E-3</v>
      </c>
      <c r="I54" s="7">
        <f t="shared" si="4"/>
        <v>0.53536284834877701</v>
      </c>
      <c r="J54" s="8">
        <f t="shared" si="5"/>
        <v>0.23940618224128785</v>
      </c>
      <c r="K54" s="2">
        <f t="shared" si="3"/>
        <v>0.29595666610748916</v>
      </c>
      <c r="N54" s="25"/>
    </row>
    <row r="55" spans="1:14">
      <c r="A55" s="28"/>
      <c r="B55" s="14" t="s">
        <v>81</v>
      </c>
      <c r="C55" s="29" t="s">
        <v>19</v>
      </c>
      <c r="D55" s="15">
        <v>121873.92977705148</v>
      </c>
      <c r="E55" s="16">
        <v>302312</v>
      </c>
      <c r="F55" s="9">
        <f t="shared" si="1"/>
        <v>36843951458.759987</v>
      </c>
      <c r="G55" s="32">
        <f t="shared" si="6"/>
        <v>1.0237928063783248E-2</v>
      </c>
      <c r="H55" s="34">
        <f t="shared" si="2"/>
        <v>7.9825018966184578E-3</v>
      </c>
      <c r="I55" s="7">
        <f t="shared" si="4"/>
        <v>0.54560077641256022</v>
      </c>
      <c r="J55" s="8">
        <f t="shared" si="5"/>
        <v>0.2473886841379063</v>
      </c>
      <c r="K55" s="2">
        <f t="shared" si="3"/>
        <v>0.29821209227465395</v>
      </c>
      <c r="N55" s="25"/>
    </row>
    <row r="56" spans="1:14">
      <c r="A56" s="28"/>
      <c r="B56" s="14" t="s">
        <v>82</v>
      </c>
      <c r="C56" s="29" t="s">
        <v>19</v>
      </c>
      <c r="D56" s="15">
        <v>123966.94396720127</v>
      </c>
      <c r="E56" s="16">
        <v>294036</v>
      </c>
      <c r="F56" s="9">
        <f t="shared" si="1"/>
        <v>36450744336.339989</v>
      </c>
      <c r="G56" s="32">
        <f t="shared" si="6"/>
        <v>9.9576577051607978E-3</v>
      </c>
      <c r="H56" s="34">
        <f t="shared" si="2"/>
        <v>7.8973108007612501E-3</v>
      </c>
      <c r="I56" s="7">
        <f t="shared" si="4"/>
        <v>0.55555843411772099</v>
      </c>
      <c r="J56" s="8">
        <f t="shared" si="5"/>
        <v>0.25528599493866755</v>
      </c>
      <c r="K56" s="2">
        <f t="shared" si="3"/>
        <v>0.30027243917905344</v>
      </c>
      <c r="N56" s="25"/>
    </row>
    <row r="57" spans="1:14">
      <c r="A57" s="28"/>
      <c r="B57" s="14" t="s">
        <v>83</v>
      </c>
      <c r="C57" s="29" t="s">
        <v>19</v>
      </c>
      <c r="D57" s="15">
        <v>125021.40139324265</v>
      </c>
      <c r="E57" s="16">
        <v>298785</v>
      </c>
      <c r="F57" s="9">
        <f t="shared" si="1"/>
        <v>37354519415.280006</v>
      </c>
      <c r="G57" s="32">
        <f t="shared" si="6"/>
        <v>1.011848466662745E-2</v>
      </c>
      <c r="H57" s="34">
        <f t="shared" si="2"/>
        <v>8.0931200447786934E-3</v>
      </c>
      <c r="I57" s="7">
        <f t="shared" si="4"/>
        <v>0.56567691878434845</v>
      </c>
      <c r="J57" s="8">
        <f t="shared" si="5"/>
        <v>0.26337911498344624</v>
      </c>
      <c r="K57" s="2">
        <f t="shared" si="3"/>
        <v>0.30229780380090221</v>
      </c>
      <c r="N57" s="25"/>
    </row>
    <row r="58" spans="1:14">
      <c r="A58" s="28"/>
      <c r="B58" s="14" t="s">
        <v>84</v>
      </c>
      <c r="C58" s="29" t="s">
        <v>19</v>
      </c>
      <c r="D58" s="15">
        <v>126937.10250908042</v>
      </c>
      <c r="E58" s="16">
        <v>297619</v>
      </c>
      <c r="F58" s="9">
        <f t="shared" si="1"/>
        <v>37778893511.650002</v>
      </c>
      <c r="G58" s="32">
        <f t="shared" si="6"/>
        <v>1.00789975668022E-2</v>
      </c>
      <c r="H58" s="34">
        <f t="shared" si="2"/>
        <v>8.1850636853228135E-3</v>
      </c>
      <c r="I58" s="7">
        <f t="shared" si="4"/>
        <v>0.57575591635115064</v>
      </c>
      <c r="J58" s="8">
        <f t="shared" si="5"/>
        <v>0.27156417866876903</v>
      </c>
      <c r="K58" s="2">
        <f t="shared" si="3"/>
        <v>0.30419173768238161</v>
      </c>
      <c r="N58" s="25"/>
    </row>
    <row r="59" spans="1:14">
      <c r="A59" s="28"/>
      <c r="B59" s="14" t="s">
        <v>85</v>
      </c>
      <c r="C59" s="29" t="s">
        <v>19</v>
      </c>
      <c r="D59" s="15">
        <v>130131.20565858026</v>
      </c>
      <c r="E59" s="16">
        <v>299637</v>
      </c>
      <c r="F59" s="9">
        <f t="shared" si="1"/>
        <v>38992124069.920013</v>
      </c>
      <c r="G59" s="32">
        <f t="shared" si="6"/>
        <v>1.0147338019158424E-2</v>
      </c>
      <c r="H59" s="34">
        <f t="shared" si="2"/>
        <v>8.4479186411292231E-3</v>
      </c>
      <c r="I59" s="7">
        <f t="shared" si="4"/>
        <v>0.5859032543703091</v>
      </c>
      <c r="J59" s="8">
        <f t="shared" si="5"/>
        <v>0.28001209730989823</v>
      </c>
      <c r="K59" s="2">
        <f t="shared" si="3"/>
        <v>0.30589115706041087</v>
      </c>
      <c r="N59" s="25"/>
    </row>
    <row r="60" spans="1:14">
      <c r="A60" s="28"/>
      <c r="B60" s="14" t="s">
        <v>86</v>
      </c>
      <c r="C60" s="29" t="s">
        <v>19</v>
      </c>
      <c r="D60" s="15">
        <v>132874.19034541064</v>
      </c>
      <c r="E60" s="16">
        <v>296835</v>
      </c>
      <c r="F60" s="9">
        <f t="shared" si="1"/>
        <v>39441710291.17997</v>
      </c>
      <c r="G60" s="32">
        <f t="shared" si="6"/>
        <v>1.0052447064003746E-2</v>
      </c>
      <c r="H60" s="34">
        <f t="shared" si="2"/>
        <v>8.5453246663194943E-3</v>
      </c>
      <c r="I60" s="7">
        <f t="shared" si="4"/>
        <v>0.59595570143431287</v>
      </c>
      <c r="J60" s="8">
        <f t="shared" si="5"/>
        <v>0.28855742197621775</v>
      </c>
      <c r="K60" s="2">
        <f t="shared" si="3"/>
        <v>0.30739827945809511</v>
      </c>
      <c r="N60" s="25"/>
    </row>
    <row r="61" spans="1:14">
      <c r="A61" s="28"/>
      <c r="B61" s="14" t="s">
        <v>87</v>
      </c>
      <c r="C61" s="29" t="s">
        <v>19</v>
      </c>
      <c r="D61" s="15">
        <v>134850.18616542569</v>
      </c>
      <c r="E61" s="16">
        <v>295879</v>
      </c>
      <c r="F61" s="9">
        <f t="shared" si="1"/>
        <v>39899338232.439987</v>
      </c>
      <c r="G61" s="32">
        <f t="shared" si="6"/>
        <v>1.0020071705999509E-2</v>
      </c>
      <c r="H61" s="34">
        <f t="shared" si="2"/>
        <v>8.6444729868557033E-3</v>
      </c>
      <c r="I61" s="7">
        <f t="shared" si="4"/>
        <v>0.60597577314031237</v>
      </c>
      <c r="J61" s="8">
        <f t="shared" si="5"/>
        <v>0.29720189496307348</v>
      </c>
      <c r="K61" s="2">
        <f t="shared" si="3"/>
        <v>0.30877387817723889</v>
      </c>
      <c r="N61" s="25"/>
    </row>
    <row r="62" spans="1:14">
      <c r="A62" s="28"/>
      <c r="B62" s="14" t="s">
        <v>88</v>
      </c>
      <c r="C62" s="29" t="s">
        <v>19</v>
      </c>
      <c r="D62" s="15">
        <v>137656.44973939357</v>
      </c>
      <c r="E62" s="16">
        <v>299494</v>
      </c>
      <c r="F62" s="9">
        <f t="shared" si="1"/>
        <v>41227280758.249939</v>
      </c>
      <c r="G62" s="32">
        <f t="shared" si="6"/>
        <v>1.0142495261632684E-2</v>
      </c>
      <c r="H62" s="34">
        <f t="shared" si="2"/>
        <v>8.9321810993458466E-3</v>
      </c>
      <c r="I62" s="7">
        <f t="shared" si="4"/>
        <v>0.61611826840194506</v>
      </c>
      <c r="J62" s="8">
        <f t="shared" si="5"/>
        <v>0.30613407606241932</v>
      </c>
      <c r="K62" s="2">
        <f t="shared" si="3"/>
        <v>0.30998419233952573</v>
      </c>
      <c r="N62" s="25"/>
    </row>
    <row r="63" spans="1:14">
      <c r="A63" s="28"/>
      <c r="B63" s="14" t="s">
        <v>89</v>
      </c>
      <c r="C63" s="29" t="s">
        <v>19</v>
      </c>
      <c r="D63" s="15">
        <v>140744.8858537474</v>
      </c>
      <c r="E63" s="16">
        <v>299222</v>
      </c>
      <c r="F63" s="9">
        <f t="shared" si="1"/>
        <v>42113966234.930008</v>
      </c>
      <c r="G63" s="32">
        <f t="shared" si="6"/>
        <v>1.0133283862702609E-2</v>
      </c>
      <c r="H63" s="34">
        <f t="shared" si="2"/>
        <v>9.1242877605226518E-3</v>
      </c>
      <c r="I63" s="7">
        <f t="shared" si="4"/>
        <v>0.62625155226464768</v>
      </c>
      <c r="J63" s="8">
        <f t="shared" si="5"/>
        <v>0.31525836382294198</v>
      </c>
      <c r="K63" s="2">
        <f t="shared" si="3"/>
        <v>0.3109931884417057</v>
      </c>
      <c r="N63" s="25"/>
    </row>
    <row r="64" spans="1:14">
      <c r="A64" s="28"/>
      <c r="B64" s="14" t="s">
        <v>90</v>
      </c>
      <c r="C64" s="29" t="s">
        <v>19</v>
      </c>
      <c r="D64" s="15">
        <v>145426.56917855341</v>
      </c>
      <c r="E64" s="16">
        <v>298583</v>
      </c>
      <c r="F64" s="9">
        <f t="shared" si="1"/>
        <v>43421901305.040016</v>
      </c>
      <c r="G64" s="32">
        <f t="shared" si="6"/>
        <v>1.011164384830438E-2</v>
      </c>
      <c r="H64" s="34">
        <f t="shared" si="2"/>
        <v>9.407661116648508E-3</v>
      </c>
      <c r="I64" s="7">
        <f t="shared" si="4"/>
        <v>0.63636319611295211</v>
      </c>
      <c r="J64" s="8">
        <f t="shared" si="5"/>
        <v>0.32466602493959051</v>
      </c>
      <c r="K64" s="2">
        <f t="shared" si="3"/>
        <v>0.3116971711733616</v>
      </c>
      <c r="N64" s="25"/>
    </row>
    <row r="65" spans="1:14">
      <c r="A65" s="28"/>
      <c r="B65" s="14" t="s">
        <v>91</v>
      </c>
      <c r="C65" s="29" t="s">
        <v>19</v>
      </c>
      <c r="D65" s="15">
        <v>149183.19858396132</v>
      </c>
      <c r="E65" s="16">
        <v>298304</v>
      </c>
      <c r="F65" s="9">
        <f t="shared" si="1"/>
        <v>44501944870.389999</v>
      </c>
      <c r="G65" s="32">
        <f t="shared" si="6"/>
        <v>1.0102195391313603E-2</v>
      </c>
      <c r="H65" s="34">
        <f t="shared" si="2"/>
        <v>9.6416601712419579E-3</v>
      </c>
      <c r="I65" s="7">
        <f t="shared" si="4"/>
        <v>0.64646539150426574</v>
      </c>
      <c r="J65" s="8">
        <f t="shared" si="5"/>
        <v>0.33430768511083248</v>
      </c>
      <c r="K65" s="2">
        <f t="shared" si="3"/>
        <v>0.31215770639343327</v>
      </c>
      <c r="N65" s="25"/>
    </row>
    <row r="66" spans="1:14">
      <c r="A66" s="28"/>
      <c r="B66" s="14" t="s">
        <v>92</v>
      </c>
      <c r="C66" s="29" t="s">
        <v>19</v>
      </c>
      <c r="D66" s="15">
        <v>150000</v>
      </c>
      <c r="E66" s="16">
        <v>301747</v>
      </c>
      <c r="F66" s="9">
        <f t="shared" si="1"/>
        <v>45262050000</v>
      </c>
      <c r="G66" s="32">
        <f t="shared" ref="G66:G100" si="7">+E66/E$101</f>
        <v>1.0218794091740995E-2</v>
      </c>
      <c r="H66" s="34">
        <f t="shared" si="2"/>
        <v>9.8063423076173873E-3</v>
      </c>
      <c r="I66" s="7">
        <f t="shared" si="4"/>
        <v>0.65668418559600672</v>
      </c>
      <c r="J66" s="8">
        <f t="shared" si="5"/>
        <v>0.34411402741844987</v>
      </c>
      <c r="K66" s="2">
        <f t="shared" si="3"/>
        <v>0.31257015817755684</v>
      </c>
      <c r="N66" s="25"/>
    </row>
    <row r="67" spans="1:14">
      <c r="A67" s="28"/>
      <c r="B67" s="14" t="s">
        <v>93</v>
      </c>
      <c r="C67" s="29" t="s">
        <v>19</v>
      </c>
      <c r="D67" s="15">
        <v>153744.11566292247</v>
      </c>
      <c r="E67" s="16">
        <v>295208</v>
      </c>
      <c r="F67" s="9">
        <f t="shared" ref="F67:F100" si="8">D67*E67</f>
        <v>45386492896.620018</v>
      </c>
      <c r="G67" s="32">
        <f t="shared" si="7"/>
        <v>9.9973479976095073E-3</v>
      </c>
      <c r="H67" s="34">
        <f t="shared" ref="H67:H100" si="9">F67/F$101</f>
        <v>9.8333037387060666E-3</v>
      </c>
      <c r="I67" s="7">
        <f t="shared" si="4"/>
        <v>0.66668153359361626</v>
      </c>
      <c r="J67" s="8">
        <f t="shared" si="5"/>
        <v>0.35394733115715593</v>
      </c>
      <c r="K67" s="2">
        <f t="shared" ref="K67:K100" si="10">I67-J67</f>
        <v>0.31273420243646033</v>
      </c>
      <c r="N67" s="25"/>
    </row>
    <row r="68" spans="1:14">
      <c r="A68" s="28"/>
      <c r="B68" s="14" t="s">
        <v>94</v>
      </c>
      <c r="C68" s="29" t="s">
        <v>19</v>
      </c>
      <c r="D68" s="15">
        <v>158690.37132240622</v>
      </c>
      <c r="E68" s="16">
        <v>298524</v>
      </c>
      <c r="F68" s="9">
        <f t="shared" si="8"/>
        <v>47372884408.649994</v>
      </c>
      <c r="G68" s="32">
        <f t="shared" si="7"/>
        <v>1.0109645787507046E-2</v>
      </c>
      <c r="H68" s="34">
        <f t="shared" si="9"/>
        <v>1.0263669467255959E-2</v>
      </c>
      <c r="I68" s="7">
        <f t="shared" ref="I68:I100" si="11">+G68+I67</f>
        <v>0.67679117938112332</v>
      </c>
      <c r="J68" s="8">
        <f t="shared" ref="J68:J100" si="12">+H68+J67</f>
        <v>0.36421100062441192</v>
      </c>
      <c r="K68" s="2">
        <f t="shared" si="10"/>
        <v>0.3125801787567114</v>
      </c>
      <c r="N68" s="25"/>
    </row>
    <row r="69" spans="1:14">
      <c r="A69" s="28"/>
      <c r="B69" s="14" t="s">
        <v>95</v>
      </c>
      <c r="C69" s="29" t="s">
        <v>19</v>
      </c>
      <c r="D69" s="15">
        <v>162400.17154912552</v>
      </c>
      <c r="E69" s="16">
        <v>298562</v>
      </c>
      <c r="F69" s="9">
        <f t="shared" si="8"/>
        <v>48486520018.050011</v>
      </c>
      <c r="G69" s="32">
        <f t="shared" si="7"/>
        <v>1.0110932674122278E-2</v>
      </c>
      <c r="H69" s="34">
        <f t="shared" si="9"/>
        <v>1.0504946475074399E-2</v>
      </c>
      <c r="I69" s="7">
        <f t="shared" si="11"/>
        <v>0.68690211205524565</v>
      </c>
      <c r="J69" s="8">
        <f t="shared" si="12"/>
        <v>0.3747159470994863</v>
      </c>
      <c r="K69" s="2">
        <f t="shared" si="10"/>
        <v>0.31218616495575935</v>
      </c>
      <c r="N69" s="25"/>
    </row>
    <row r="70" spans="1:14">
      <c r="A70" s="28"/>
      <c r="B70" s="14" t="s">
        <v>96</v>
      </c>
      <c r="C70" s="29" t="s">
        <v>19</v>
      </c>
      <c r="D70" s="15">
        <v>166542.79015602788</v>
      </c>
      <c r="E70" s="16">
        <v>297383</v>
      </c>
      <c r="F70" s="9">
        <f t="shared" si="8"/>
        <v>49526994564.970039</v>
      </c>
      <c r="G70" s="32">
        <f t="shared" si="7"/>
        <v>1.0071005323612868E-2</v>
      </c>
      <c r="H70" s="34">
        <f t="shared" si="9"/>
        <v>1.0730372622795524E-2</v>
      </c>
      <c r="I70" s="7">
        <f t="shared" si="11"/>
        <v>0.69697311737885848</v>
      </c>
      <c r="J70" s="8">
        <f t="shared" si="12"/>
        <v>0.38544631972228183</v>
      </c>
      <c r="K70" s="2">
        <f t="shared" si="10"/>
        <v>0.31152679765657665</v>
      </c>
      <c r="N70" s="25"/>
    </row>
    <row r="71" spans="1:14">
      <c r="A71" s="28"/>
      <c r="B71" s="14" t="s">
        <v>97</v>
      </c>
      <c r="C71" s="29" t="s">
        <v>19</v>
      </c>
      <c r="D71" s="15">
        <v>171203.69809401885</v>
      </c>
      <c r="E71" s="16">
        <v>298408</v>
      </c>
      <c r="F71" s="9">
        <f t="shared" si="8"/>
        <v>51088553140.839981</v>
      </c>
      <c r="G71" s="32">
        <f t="shared" si="7"/>
        <v>1.0105717396786867E-2</v>
      </c>
      <c r="H71" s="34">
        <f t="shared" si="9"/>
        <v>1.1068695299925175E-2</v>
      </c>
      <c r="I71" s="7">
        <f t="shared" si="11"/>
        <v>0.70707883477564537</v>
      </c>
      <c r="J71" s="8">
        <f t="shared" si="12"/>
        <v>0.39651501502220698</v>
      </c>
      <c r="K71" s="2">
        <f t="shared" si="10"/>
        <v>0.31056381975343839</v>
      </c>
      <c r="N71" s="25"/>
    </row>
    <row r="72" spans="1:14">
      <c r="A72" s="28"/>
      <c r="B72" s="14" t="s">
        <v>98</v>
      </c>
      <c r="C72" s="29" t="s">
        <v>19</v>
      </c>
      <c r="D72" s="15">
        <v>174822.77071992125</v>
      </c>
      <c r="E72" s="16">
        <v>297852</v>
      </c>
      <c r="F72" s="9">
        <f t="shared" si="8"/>
        <v>52071311904.469986</v>
      </c>
      <c r="G72" s="32">
        <f t="shared" si="7"/>
        <v>1.0086888213679802E-2</v>
      </c>
      <c r="H72" s="34">
        <f t="shared" si="9"/>
        <v>1.128161691620121E-2</v>
      </c>
      <c r="I72" s="7">
        <f t="shared" si="11"/>
        <v>0.71716572298932513</v>
      </c>
      <c r="J72" s="8">
        <f t="shared" si="12"/>
        <v>0.40779663193840821</v>
      </c>
      <c r="K72" s="2">
        <f t="shared" si="10"/>
        <v>0.30936909105091692</v>
      </c>
      <c r="N72" s="25"/>
    </row>
    <row r="73" spans="1:14">
      <c r="A73" s="28"/>
      <c r="B73" s="14" t="s">
        <v>99</v>
      </c>
      <c r="C73" s="29" t="s">
        <v>19</v>
      </c>
      <c r="D73" s="15">
        <v>177702.37919976196</v>
      </c>
      <c r="E73" s="16">
        <v>297374</v>
      </c>
      <c r="F73" s="9">
        <f t="shared" si="8"/>
        <v>52844067312.150009</v>
      </c>
      <c r="G73" s="32">
        <f t="shared" si="7"/>
        <v>1.0070700534677682E-2</v>
      </c>
      <c r="H73" s="34">
        <f t="shared" si="9"/>
        <v>1.1449039824526677E-2</v>
      </c>
      <c r="I73" s="7">
        <f t="shared" si="11"/>
        <v>0.72723642352400286</v>
      </c>
      <c r="J73" s="8">
        <f t="shared" si="12"/>
        <v>0.41924567176293487</v>
      </c>
      <c r="K73" s="2">
        <f t="shared" si="10"/>
        <v>0.30799075176106799</v>
      </c>
      <c r="N73" s="25"/>
    </row>
    <row r="74" spans="1:14">
      <c r="A74" s="28"/>
      <c r="B74" s="14" t="s">
        <v>100</v>
      </c>
      <c r="C74" s="29" t="s">
        <v>19</v>
      </c>
      <c r="D74" s="15">
        <v>181600.07345260505</v>
      </c>
      <c r="E74" s="16">
        <v>299345</v>
      </c>
      <c r="F74" s="9">
        <f t="shared" si="8"/>
        <v>54361073987.670059</v>
      </c>
      <c r="G74" s="32">
        <f t="shared" si="7"/>
        <v>1.0137449311483488E-2</v>
      </c>
      <c r="H74" s="34">
        <f t="shared" si="9"/>
        <v>1.1777710018278181E-2</v>
      </c>
      <c r="I74" s="7">
        <f t="shared" si="11"/>
        <v>0.73737387283548639</v>
      </c>
      <c r="J74" s="8">
        <f t="shared" si="12"/>
        <v>0.43102338178121302</v>
      </c>
      <c r="K74" s="2">
        <f t="shared" si="10"/>
        <v>0.30635049105427337</v>
      </c>
      <c r="N74" s="25"/>
    </row>
    <row r="75" spans="1:14">
      <c r="A75" s="28"/>
      <c r="B75" s="14" t="s">
        <v>101</v>
      </c>
      <c r="C75" s="29" t="s">
        <v>19</v>
      </c>
      <c r="D75" s="15">
        <v>186717.23140982536</v>
      </c>
      <c r="E75" s="16">
        <v>298349</v>
      </c>
      <c r="F75" s="9">
        <f t="shared" si="8"/>
        <v>55706899273.889984</v>
      </c>
      <c r="G75" s="32">
        <f t="shared" si="7"/>
        <v>1.0103719335989535E-2</v>
      </c>
      <c r="H75" s="34">
        <f t="shared" si="9"/>
        <v>1.206929255691529E-2</v>
      </c>
      <c r="I75" s="7">
        <f t="shared" si="11"/>
        <v>0.74747759217147591</v>
      </c>
      <c r="J75" s="8">
        <f t="shared" si="12"/>
        <v>0.44309267433812832</v>
      </c>
      <c r="K75" s="2">
        <f t="shared" si="10"/>
        <v>0.30438491783334759</v>
      </c>
      <c r="N75" s="25"/>
    </row>
    <row r="76" spans="1:14">
      <c r="A76" s="28"/>
      <c r="B76" s="14" t="s">
        <v>102</v>
      </c>
      <c r="C76" s="29" t="s">
        <v>19</v>
      </c>
      <c r="D76" s="15">
        <v>191646.72675588337</v>
      </c>
      <c r="E76" s="16">
        <v>298337</v>
      </c>
      <c r="F76" s="9">
        <f t="shared" si="8"/>
        <v>57175309520.169975</v>
      </c>
      <c r="G76" s="32">
        <f t="shared" si="7"/>
        <v>1.010331295074262E-2</v>
      </c>
      <c r="H76" s="34">
        <f t="shared" si="9"/>
        <v>1.2387433991583723E-2</v>
      </c>
      <c r="I76" s="7">
        <f t="shared" si="11"/>
        <v>0.75758090512221854</v>
      </c>
      <c r="J76" s="8">
        <f t="shared" si="12"/>
        <v>0.45548010832971203</v>
      </c>
      <c r="K76" s="2">
        <f t="shared" si="10"/>
        <v>0.30210079679250651</v>
      </c>
      <c r="N76" s="25"/>
    </row>
    <row r="77" spans="1:14">
      <c r="A77" s="28"/>
      <c r="B77" s="14" t="s">
        <v>103</v>
      </c>
      <c r="C77" s="29" t="s">
        <v>19</v>
      </c>
      <c r="D77" s="15">
        <v>197721.14440474194</v>
      </c>
      <c r="E77" s="16">
        <v>298190</v>
      </c>
      <c r="F77" s="9">
        <f t="shared" si="8"/>
        <v>58958468050.049995</v>
      </c>
      <c r="G77" s="32">
        <f t="shared" si="7"/>
        <v>1.0098334731467909E-2</v>
      </c>
      <c r="H77" s="34">
        <f t="shared" si="9"/>
        <v>1.2773767861409576E-2</v>
      </c>
      <c r="I77" s="7">
        <f t="shared" si="11"/>
        <v>0.76767923985368647</v>
      </c>
      <c r="J77" s="8">
        <f t="shared" si="12"/>
        <v>0.46825387619112163</v>
      </c>
      <c r="K77" s="2">
        <f t="shared" si="10"/>
        <v>0.29942536366256484</v>
      </c>
      <c r="N77" s="25"/>
    </row>
    <row r="78" spans="1:14">
      <c r="A78" s="28"/>
      <c r="B78" s="14" t="s">
        <v>104</v>
      </c>
      <c r="C78" s="29" t="s">
        <v>19</v>
      </c>
      <c r="D78" s="15">
        <v>200000</v>
      </c>
      <c r="E78" s="16">
        <v>298889</v>
      </c>
      <c r="F78" s="9">
        <f t="shared" si="8"/>
        <v>59777800000</v>
      </c>
      <c r="G78" s="32">
        <f t="shared" si="7"/>
        <v>1.0122006672100715E-2</v>
      </c>
      <c r="H78" s="34">
        <f t="shared" si="9"/>
        <v>1.2951281906062378E-2</v>
      </c>
      <c r="I78" s="7">
        <f t="shared" si="11"/>
        <v>0.77780124652578719</v>
      </c>
      <c r="J78" s="8">
        <f t="shared" si="12"/>
        <v>0.481205158097184</v>
      </c>
      <c r="K78" s="2">
        <f t="shared" si="10"/>
        <v>0.29659608842860319</v>
      </c>
      <c r="N78" s="25"/>
    </row>
    <row r="79" spans="1:14">
      <c r="A79" s="28"/>
      <c r="B79" s="14" t="s">
        <v>105</v>
      </c>
      <c r="C79" s="29" t="s">
        <v>19</v>
      </c>
      <c r="D79" s="15">
        <v>202012.36429791138</v>
      </c>
      <c r="E79" s="16">
        <v>296907</v>
      </c>
      <c r="F79" s="9">
        <f t="shared" si="8"/>
        <v>59978885046.599976</v>
      </c>
      <c r="G79" s="32">
        <f t="shared" si="7"/>
        <v>1.0054885375485236E-2</v>
      </c>
      <c r="H79" s="34">
        <f t="shared" si="9"/>
        <v>1.2994848399402882E-2</v>
      </c>
      <c r="I79" s="7">
        <f t="shared" si="11"/>
        <v>0.78785613190127246</v>
      </c>
      <c r="J79" s="8">
        <f t="shared" si="12"/>
        <v>0.49420000649658691</v>
      </c>
      <c r="K79" s="2">
        <f t="shared" si="10"/>
        <v>0.29365612540468555</v>
      </c>
      <c r="N79" s="25"/>
    </row>
    <row r="80" spans="1:14">
      <c r="A80" s="28"/>
      <c r="B80" s="14" t="s">
        <v>106</v>
      </c>
      <c r="C80" s="29" t="s">
        <v>19</v>
      </c>
      <c r="D80" s="15">
        <v>207175.47284855568</v>
      </c>
      <c r="E80" s="16">
        <v>301788</v>
      </c>
      <c r="F80" s="9">
        <f t="shared" si="8"/>
        <v>62523071600.01992</v>
      </c>
      <c r="G80" s="32">
        <f t="shared" si="7"/>
        <v>1.0220182574667955E-2</v>
      </c>
      <c r="H80" s="34">
        <f t="shared" si="9"/>
        <v>1.3546064357082071E-2</v>
      </c>
      <c r="I80" s="7">
        <f t="shared" si="11"/>
        <v>0.79807631447594041</v>
      </c>
      <c r="J80" s="8">
        <f t="shared" si="12"/>
        <v>0.50774607085366896</v>
      </c>
      <c r="K80" s="2">
        <f t="shared" si="10"/>
        <v>0.29033024362227144</v>
      </c>
      <c r="N80" s="25"/>
    </row>
    <row r="81" spans="1:14">
      <c r="A81" s="28"/>
      <c r="B81" s="14" t="s">
        <v>107</v>
      </c>
      <c r="C81" s="29" t="s">
        <v>19</v>
      </c>
      <c r="D81" s="15">
        <v>212979.27481653864</v>
      </c>
      <c r="E81" s="16">
        <v>295430</v>
      </c>
      <c r="F81" s="9">
        <f t="shared" si="8"/>
        <v>62920467159.050011</v>
      </c>
      <c r="G81" s="32">
        <f t="shared" si="7"/>
        <v>1.0004866124677436E-2</v>
      </c>
      <c r="H81" s="34">
        <f t="shared" si="9"/>
        <v>1.3632162907266519E-2</v>
      </c>
      <c r="I81" s="7">
        <f t="shared" si="11"/>
        <v>0.80808118060061784</v>
      </c>
      <c r="J81" s="8">
        <f t="shared" si="12"/>
        <v>0.52137823376093551</v>
      </c>
      <c r="K81" s="2">
        <f t="shared" si="10"/>
        <v>0.28670294683968234</v>
      </c>
      <c r="N81" s="25"/>
    </row>
    <row r="82" spans="1:14">
      <c r="A82" s="28"/>
      <c r="B82" s="14" t="s">
        <v>108</v>
      </c>
      <c r="C82" s="29" t="s">
        <v>19</v>
      </c>
      <c r="D82" s="15">
        <v>219909.00716369506</v>
      </c>
      <c r="E82" s="16">
        <v>297193</v>
      </c>
      <c r="F82" s="9">
        <f t="shared" si="8"/>
        <v>65355417566.000023</v>
      </c>
      <c r="G82" s="32">
        <f t="shared" si="7"/>
        <v>1.0064570890536714E-2</v>
      </c>
      <c r="H82" s="34">
        <f t="shared" si="9"/>
        <v>1.4159712083510726E-2</v>
      </c>
      <c r="I82" s="7">
        <f t="shared" si="11"/>
        <v>0.81814575149115454</v>
      </c>
      <c r="J82" s="8">
        <f t="shared" si="12"/>
        <v>0.53553794584444625</v>
      </c>
      <c r="K82" s="2">
        <f t="shared" si="10"/>
        <v>0.28260780564670829</v>
      </c>
      <c r="N82" s="25"/>
    </row>
    <row r="83" spans="1:14">
      <c r="A83" s="28"/>
      <c r="B83" s="14" t="s">
        <v>109</v>
      </c>
      <c r="C83" s="29" t="s">
        <v>19</v>
      </c>
      <c r="D83" s="15">
        <v>227051.32803653376</v>
      </c>
      <c r="E83" s="16">
        <v>301803</v>
      </c>
      <c r="F83" s="9">
        <f t="shared" si="8"/>
        <v>68524771955.409996</v>
      </c>
      <c r="G83" s="32">
        <f t="shared" si="7"/>
        <v>1.0220690556226599E-2</v>
      </c>
      <c r="H83" s="34">
        <f t="shared" si="9"/>
        <v>1.4846375061363118E-2</v>
      </c>
      <c r="I83" s="7">
        <f t="shared" si="11"/>
        <v>0.82836644204738119</v>
      </c>
      <c r="J83" s="8">
        <f t="shared" si="12"/>
        <v>0.55038432090580935</v>
      </c>
      <c r="K83" s="2">
        <f t="shared" si="10"/>
        <v>0.27798212114157184</v>
      </c>
      <c r="N83" s="25"/>
    </row>
    <row r="84" spans="1:14">
      <c r="A84" s="28"/>
      <c r="B84" s="14" t="s">
        <v>110</v>
      </c>
      <c r="C84" s="29" t="s">
        <v>19</v>
      </c>
      <c r="D84" s="15">
        <v>231995.05210670683</v>
      </c>
      <c r="E84" s="16">
        <v>296401</v>
      </c>
      <c r="F84" s="9">
        <f t="shared" si="8"/>
        <v>68763565439.480011</v>
      </c>
      <c r="G84" s="32">
        <f t="shared" si="7"/>
        <v>1.0037749464240317E-2</v>
      </c>
      <c r="H84" s="34">
        <f t="shared" si="9"/>
        <v>1.4898111353590694E-2</v>
      </c>
      <c r="I84" s="7">
        <f t="shared" si="11"/>
        <v>0.83840419151162149</v>
      </c>
      <c r="J84" s="8">
        <f t="shared" si="12"/>
        <v>0.5652824322594</v>
      </c>
      <c r="K84" s="2">
        <f t="shared" si="10"/>
        <v>0.27312175925222149</v>
      </c>
      <c r="N84" s="25"/>
    </row>
    <row r="85" spans="1:14">
      <c r="A85" s="28"/>
      <c r="B85" s="14" t="s">
        <v>111</v>
      </c>
      <c r="C85" s="29" t="s">
        <v>19</v>
      </c>
      <c r="D85" s="15">
        <v>240166.25449296858</v>
      </c>
      <c r="E85" s="16">
        <v>297881</v>
      </c>
      <c r="F85" s="9">
        <f t="shared" si="8"/>
        <v>71540964054.61998</v>
      </c>
      <c r="G85" s="32">
        <f t="shared" si="7"/>
        <v>1.0087870311359846E-2</v>
      </c>
      <c r="H85" s="34">
        <f t="shared" si="9"/>
        <v>1.5499854348986727E-2</v>
      </c>
      <c r="I85" s="7">
        <f t="shared" si="11"/>
        <v>0.84849206182298131</v>
      </c>
      <c r="J85" s="8">
        <f t="shared" si="12"/>
        <v>0.58078228660838671</v>
      </c>
      <c r="K85" s="2">
        <f t="shared" si="10"/>
        <v>0.2677097752145946</v>
      </c>
      <c r="N85" s="25"/>
    </row>
    <row r="86" spans="1:14">
      <c r="A86" s="28"/>
      <c r="B86" s="14" t="s">
        <v>112</v>
      </c>
      <c r="C86" s="29" t="s">
        <v>19</v>
      </c>
      <c r="D86" s="15">
        <v>249056.50483178109</v>
      </c>
      <c r="E86" s="16">
        <v>298064</v>
      </c>
      <c r="F86" s="9">
        <f t="shared" si="8"/>
        <v>74234778056.179993</v>
      </c>
      <c r="G86" s="32">
        <f t="shared" si="7"/>
        <v>1.0094067686375302E-2</v>
      </c>
      <c r="H86" s="34">
        <f t="shared" si="9"/>
        <v>1.6083488148435715E-2</v>
      </c>
      <c r="I86" s="7">
        <f t="shared" si="11"/>
        <v>0.85858612950935664</v>
      </c>
      <c r="J86" s="8">
        <f t="shared" si="12"/>
        <v>0.59686577475682245</v>
      </c>
      <c r="K86" s="2">
        <f t="shared" si="10"/>
        <v>0.26172035475253419</v>
      </c>
      <c r="N86" s="25"/>
    </row>
    <row r="87" spans="1:14">
      <c r="A87" s="28"/>
      <c r="B87" s="14" t="s">
        <v>113</v>
      </c>
      <c r="C87" s="29" t="s">
        <v>19</v>
      </c>
      <c r="D87" s="15">
        <v>258037.05751620943</v>
      </c>
      <c r="E87" s="16">
        <v>298282</v>
      </c>
      <c r="F87" s="9">
        <f t="shared" si="8"/>
        <v>76967809590.049988</v>
      </c>
      <c r="G87" s="32">
        <f t="shared" si="7"/>
        <v>1.0101450351694258E-2</v>
      </c>
      <c r="H87" s="34">
        <f t="shared" si="9"/>
        <v>1.6675618702810556E-2</v>
      </c>
      <c r="I87" s="7">
        <f t="shared" si="11"/>
        <v>0.86868757986105094</v>
      </c>
      <c r="J87" s="8">
        <f t="shared" si="12"/>
        <v>0.61354139345963299</v>
      </c>
      <c r="K87" s="2">
        <f t="shared" si="10"/>
        <v>0.25514618640141795</v>
      </c>
      <c r="N87" s="25"/>
    </row>
    <row r="88" spans="1:14">
      <c r="A88" s="28"/>
      <c r="B88" s="14" t="s">
        <v>114</v>
      </c>
      <c r="C88" s="29" t="s">
        <v>19</v>
      </c>
      <c r="D88" s="15">
        <v>269230.09244234656</v>
      </c>
      <c r="E88" s="16">
        <v>297857</v>
      </c>
      <c r="F88" s="9">
        <f t="shared" si="8"/>
        <v>80192067644.600021</v>
      </c>
      <c r="G88" s="32">
        <f t="shared" si="7"/>
        <v>1.0087057540866015E-2</v>
      </c>
      <c r="H88" s="34">
        <f t="shared" si="9"/>
        <v>1.7374176946880589E-2</v>
      </c>
      <c r="I88" s="7">
        <f t="shared" si="11"/>
        <v>0.87877463740191697</v>
      </c>
      <c r="J88" s="8">
        <f t="shared" si="12"/>
        <v>0.63091557040651358</v>
      </c>
      <c r="K88" s="2">
        <f t="shared" si="10"/>
        <v>0.24785906699540339</v>
      </c>
      <c r="N88" s="25"/>
    </row>
    <row r="89" spans="1:14">
      <c r="A89" s="28"/>
      <c r="B89" s="14" t="s">
        <v>115</v>
      </c>
      <c r="C89" s="29" t="s">
        <v>19</v>
      </c>
      <c r="D89" s="15">
        <v>280608.34995525639</v>
      </c>
      <c r="E89" s="16">
        <v>298143</v>
      </c>
      <c r="F89" s="9">
        <f t="shared" si="8"/>
        <v>83661415280.710007</v>
      </c>
      <c r="G89" s="32">
        <f t="shared" si="7"/>
        <v>1.0096743055917493E-2</v>
      </c>
      <c r="H89" s="34">
        <f t="shared" si="9"/>
        <v>1.8125835577097689E-2</v>
      </c>
      <c r="I89" s="7">
        <f t="shared" si="11"/>
        <v>0.88887138045783443</v>
      </c>
      <c r="J89" s="8">
        <f t="shared" si="12"/>
        <v>0.64904140598361126</v>
      </c>
      <c r="K89" s="2">
        <f t="shared" si="10"/>
        <v>0.23982997447422316</v>
      </c>
      <c r="N89" s="25"/>
    </row>
    <row r="90" spans="1:14">
      <c r="A90" s="28"/>
      <c r="B90" s="14" t="s">
        <v>116</v>
      </c>
      <c r="C90" s="29" t="s">
        <v>19</v>
      </c>
      <c r="D90" s="15">
        <v>296531.90759537229</v>
      </c>
      <c r="E90" s="16">
        <v>300375</v>
      </c>
      <c r="F90" s="9">
        <f t="shared" si="8"/>
        <v>89070771743.959946</v>
      </c>
      <c r="G90" s="32">
        <f t="shared" si="7"/>
        <v>1.0172330711843702E-2</v>
      </c>
      <c r="H90" s="34">
        <f t="shared" si="9"/>
        <v>1.9297810800105737E-2</v>
      </c>
      <c r="I90" s="7">
        <f t="shared" si="11"/>
        <v>0.89904371116967807</v>
      </c>
      <c r="J90" s="8">
        <f t="shared" si="12"/>
        <v>0.66833921678371699</v>
      </c>
      <c r="K90" s="2">
        <f t="shared" si="10"/>
        <v>0.23070449438596108</v>
      </c>
      <c r="N90" s="25"/>
    </row>
    <row r="91" spans="1:14">
      <c r="A91" s="28"/>
      <c r="B91" s="14" t="s">
        <v>117</v>
      </c>
      <c r="C91" s="29" t="s">
        <v>19</v>
      </c>
      <c r="D91" s="15">
        <v>302874.42340832931</v>
      </c>
      <c r="E91" s="16">
        <v>296861</v>
      </c>
      <c r="F91" s="9">
        <f t="shared" si="8"/>
        <v>89911604207.420044</v>
      </c>
      <c r="G91" s="32">
        <f t="shared" si="7"/>
        <v>1.0053327565372062E-2</v>
      </c>
      <c r="H91" s="34">
        <f t="shared" si="9"/>
        <v>1.9479983082626013E-2</v>
      </c>
      <c r="I91" s="7">
        <f t="shared" si="11"/>
        <v>0.9090970387350501</v>
      </c>
      <c r="J91" s="8">
        <f t="shared" si="12"/>
        <v>0.68781919986634299</v>
      </c>
      <c r="K91" s="2">
        <f t="shared" si="10"/>
        <v>0.22127783886870711</v>
      </c>
      <c r="N91" s="25"/>
    </row>
    <row r="92" spans="1:14">
      <c r="A92" s="28"/>
      <c r="B92" s="14" t="s">
        <v>118</v>
      </c>
      <c r="C92" s="29" t="s">
        <v>19</v>
      </c>
      <c r="D92" s="15">
        <v>320514.44240588509</v>
      </c>
      <c r="E92" s="16">
        <v>295941</v>
      </c>
      <c r="F92" s="9">
        <f t="shared" si="8"/>
        <v>94853364600.040039</v>
      </c>
      <c r="G92" s="32">
        <f t="shared" si="7"/>
        <v>1.0022171363108571E-2</v>
      </c>
      <c r="H92" s="34">
        <f t="shared" si="9"/>
        <v>2.0550650319577441E-2</v>
      </c>
      <c r="I92" s="7">
        <f t="shared" si="11"/>
        <v>0.91911921009815867</v>
      </c>
      <c r="J92" s="8">
        <f t="shared" si="12"/>
        <v>0.70836985018592047</v>
      </c>
      <c r="K92" s="2">
        <f t="shared" si="10"/>
        <v>0.2107493599122382</v>
      </c>
      <c r="N92" s="25"/>
    </row>
    <row r="93" spans="1:14">
      <c r="A93" s="28"/>
      <c r="B93" s="14" t="s">
        <v>119</v>
      </c>
      <c r="C93" s="29" t="s">
        <v>19</v>
      </c>
      <c r="D93" s="15">
        <v>340458.37244667648</v>
      </c>
      <c r="E93" s="16">
        <v>300383</v>
      </c>
      <c r="F93" s="9">
        <f t="shared" si="8"/>
        <v>102267907290.65002</v>
      </c>
      <c r="G93" s="32">
        <f t="shared" si="7"/>
        <v>1.0172601635341645E-2</v>
      </c>
      <c r="H93" s="34">
        <f t="shared" si="9"/>
        <v>2.2157063278746635E-2</v>
      </c>
      <c r="I93" s="7">
        <f t="shared" si="11"/>
        <v>0.92929181173350028</v>
      </c>
      <c r="J93" s="8">
        <f t="shared" si="12"/>
        <v>0.73052691346466714</v>
      </c>
      <c r="K93" s="2">
        <f t="shared" si="10"/>
        <v>0.19876489826883315</v>
      </c>
      <c r="N93" s="25"/>
    </row>
    <row r="94" spans="1:14">
      <c r="A94" s="28"/>
      <c r="B94" s="14" t="s">
        <v>120</v>
      </c>
      <c r="C94" s="29" t="s">
        <v>19</v>
      </c>
      <c r="D94" s="15">
        <v>362484.2960564575</v>
      </c>
      <c r="E94" s="16">
        <v>298739</v>
      </c>
      <c r="F94" s="9">
        <f t="shared" si="8"/>
        <v>108288196119.61006</v>
      </c>
      <c r="G94" s="32">
        <f t="shared" si="7"/>
        <v>1.0116926856514276E-2</v>
      </c>
      <c r="H94" s="34">
        <f t="shared" si="9"/>
        <v>2.3461401306907249E-2</v>
      </c>
      <c r="I94" s="7">
        <f t="shared" si="11"/>
        <v>0.93940873859001461</v>
      </c>
      <c r="J94" s="8">
        <f t="shared" si="12"/>
        <v>0.75398831477157435</v>
      </c>
      <c r="K94" s="2">
        <f t="shared" si="10"/>
        <v>0.18542042381844026</v>
      </c>
      <c r="N94" s="25"/>
    </row>
    <row r="95" spans="1:14">
      <c r="A95" s="28"/>
      <c r="B95" s="14" t="s">
        <v>121</v>
      </c>
      <c r="C95" s="29" t="s">
        <v>19</v>
      </c>
      <c r="D95" s="15">
        <v>392516.10078291578</v>
      </c>
      <c r="E95" s="16">
        <v>297746</v>
      </c>
      <c r="F95" s="9">
        <f t="shared" si="8"/>
        <v>116870098943.71004</v>
      </c>
      <c r="G95" s="32">
        <f t="shared" si="7"/>
        <v>1.0083298477332052E-2</v>
      </c>
      <c r="H95" s="34">
        <f t="shared" si="9"/>
        <v>2.5320731070889054E-2</v>
      </c>
      <c r="I95" s="7">
        <f t="shared" si="11"/>
        <v>0.94949203706734664</v>
      </c>
      <c r="J95" s="8">
        <f t="shared" si="12"/>
        <v>0.77930904584246341</v>
      </c>
      <c r="K95" s="2">
        <f t="shared" si="10"/>
        <v>0.17018299122488323</v>
      </c>
      <c r="N95" s="25"/>
    </row>
    <row r="96" spans="1:14">
      <c r="A96" s="28"/>
      <c r="B96" s="14" t="s">
        <v>122</v>
      </c>
      <c r="C96" s="29" t="s">
        <v>19</v>
      </c>
      <c r="D96" s="15">
        <v>419277.42199647037</v>
      </c>
      <c r="E96" s="16">
        <v>298076</v>
      </c>
      <c r="F96" s="9">
        <f t="shared" si="8"/>
        <v>124976536839.0199</v>
      </c>
      <c r="G96" s="32">
        <f t="shared" si="7"/>
        <v>1.0094474071622216E-2</v>
      </c>
      <c r="H96" s="34">
        <f t="shared" si="9"/>
        <v>2.7077048005204888E-2</v>
      </c>
      <c r="I96" s="7">
        <f t="shared" si="11"/>
        <v>0.95958651113896887</v>
      </c>
      <c r="J96" s="8">
        <f t="shared" si="12"/>
        <v>0.80638609384766835</v>
      </c>
      <c r="K96" s="2">
        <f t="shared" si="10"/>
        <v>0.15320041729130052</v>
      </c>
      <c r="N96" s="25"/>
    </row>
    <row r="97" spans="1:14">
      <c r="A97" s="28"/>
      <c r="B97" s="14" t="s">
        <v>123</v>
      </c>
      <c r="C97" s="29" t="s">
        <v>19</v>
      </c>
      <c r="D97" s="15">
        <v>476084.00598586793</v>
      </c>
      <c r="E97" s="16">
        <v>298752</v>
      </c>
      <c r="F97" s="9">
        <f t="shared" si="8"/>
        <v>142231048956.29001</v>
      </c>
      <c r="G97" s="32">
        <f t="shared" si="7"/>
        <v>1.0117367107198435E-2</v>
      </c>
      <c r="H97" s="34">
        <f t="shared" si="9"/>
        <v>3.0815359729328799E-2</v>
      </c>
      <c r="I97" s="7">
        <f t="shared" si="11"/>
        <v>0.96970387824616733</v>
      </c>
      <c r="J97" s="8">
        <f t="shared" si="12"/>
        <v>0.83720145357699716</v>
      </c>
      <c r="K97" s="2">
        <f t="shared" si="10"/>
        <v>0.13250242466917017</v>
      </c>
      <c r="N97" s="25"/>
    </row>
    <row r="98" spans="1:14">
      <c r="A98" s="28"/>
      <c r="B98" s="14" t="s">
        <v>124</v>
      </c>
      <c r="C98" s="29" t="s">
        <v>19</v>
      </c>
      <c r="D98" s="15">
        <v>544224.46287790069</v>
      </c>
      <c r="E98" s="16">
        <v>297995</v>
      </c>
      <c r="F98" s="9">
        <f t="shared" si="8"/>
        <v>162176168815.30002</v>
      </c>
      <c r="G98" s="32">
        <f t="shared" si="7"/>
        <v>1.009173097120554E-2</v>
      </c>
      <c r="H98" s="34">
        <f t="shared" si="9"/>
        <v>3.5136610594102037E-2</v>
      </c>
      <c r="I98" s="7">
        <f t="shared" si="11"/>
        <v>0.97979560921737285</v>
      </c>
      <c r="J98" s="8">
        <f t="shared" si="12"/>
        <v>0.87233806417109916</v>
      </c>
      <c r="K98" s="2">
        <f t="shared" si="10"/>
        <v>0.10745754504627369</v>
      </c>
      <c r="N98" s="25"/>
    </row>
    <row r="99" spans="1:14" ht="13.5" thickBot="1">
      <c r="A99" s="28"/>
      <c r="B99" s="14" t="s">
        <v>125</v>
      </c>
      <c r="C99" s="29" t="s">
        <v>19</v>
      </c>
      <c r="D99" s="15">
        <v>679969.95993118058</v>
      </c>
      <c r="E99" s="16">
        <v>297882</v>
      </c>
      <c r="F99" s="9">
        <f t="shared" si="8"/>
        <v>202550811604.21994</v>
      </c>
      <c r="G99" s="32">
        <f t="shared" si="7"/>
        <v>1.0087904176797089E-2</v>
      </c>
      <c r="H99" s="34">
        <f t="shared" si="9"/>
        <v>4.3884061664831817E-2</v>
      </c>
      <c r="I99" s="7">
        <f t="shared" si="11"/>
        <v>0.98988351339416991</v>
      </c>
      <c r="J99" s="8">
        <f t="shared" si="12"/>
        <v>0.91622212583593099</v>
      </c>
      <c r="K99" s="2">
        <f t="shared" si="10"/>
        <v>7.3661387558238922E-2</v>
      </c>
      <c r="N99" s="25"/>
    </row>
    <row r="100" spans="1:14" ht="13.5" thickBot="1">
      <c r="A100" s="30"/>
      <c r="B100" s="17" t="s">
        <v>126</v>
      </c>
      <c r="C100" s="31" t="s">
        <v>19</v>
      </c>
      <c r="D100" s="18">
        <v>1294444.6459189353</v>
      </c>
      <c r="E100" s="19">
        <v>298726</v>
      </c>
      <c r="F100" s="9">
        <f t="shared" si="8"/>
        <v>386684271296.77985</v>
      </c>
      <c r="G100" s="32">
        <f t="shared" si="7"/>
        <v>1.0116486605830118E-2</v>
      </c>
      <c r="H100" s="34">
        <f t="shared" si="9"/>
        <v>8.3777874164069288E-2</v>
      </c>
      <c r="I100" s="7">
        <f t="shared" si="11"/>
        <v>1</v>
      </c>
      <c r="J100" s="8">
        <f t="shared" si="12"/>
        <v>1.0000000000000002</v>
      </c>
      <c r="K100" s="2">
        <f t="shared" si="10"/>
        <v>0</v>
      </c>
      <c r="M100" s="81">
        <f>+N100/E100</f>
        <v>1276898.592556389</v>
      </c>
      <c r="N100" s="82">
        <f>+F100-O2-O3-O4-O5</f>
        <v>381442808959.99988</v>
      </c>
    </row>
    <row r="101" spans="1:14" ht="13.5" thickTop="1">
      <c r="E101" s="5">
        <f>SUM(E2:E100)</f>
        <v>29528631</v>
      </c>
      <c r="F101" s="5">
        <f>SUM(F2:F100)</f>
        <v>4615589439993.4688</v>
      </c>
    </row>
    <row r="102" spans="1:14" ht="13.5" thickBot="1"/>
    <row r="103" spans="1:14">
      <c r="I103" s="35" t="s">
        <v>3</v>
      </c>
      <c r="J103" s="36" t="s">
        <v>6</v>
      </c>
      <c r="K103" s="37">
        <f>SUM(K2:K100)</f>
        <v>21.532592851023594</v>
      </c>
    </row>
    <row r="104" spans="1:14">
      <c r="I104" s="38" t="s">
        <v>2</v>
      </c>
      <c r="J104" s="39" t="s">
        <v>5</v>
      </c>
      <c r="K104" s="40">
        <f>SUM(I2:I100)-1</f>
        <v>49.000379834744102</v>
      </c>
    </row>
    <row r="105" spans="1:14">
      <c r="I105" s="38"/>
      <c r="J105" s="39"/>
      <c r="K105" s="40"/>
    </row>
    <row r="106" spans="1:14" ht="13.5" thickBot="1">
      <c r="I106" s="41" t="s">
        <v>4</v>
      </c>
      <c r="J106" s="42"/>
      <c r="K106" s="43">
        <f>SUM(K103/K104)</f>
        <v>0.43943726403026251</v>
      </c>
    </row>
    <row r="110" spans="1:14">
      <c r="A110" s="1" t="s">
        <v>1</v>
      </c>
      <c r="B110" s="3" t="s">
        <v>9</v>
      </c>
    </row>
    <row r="111" spans="1:14">
      <c r="A111" s="1" t="s">
        <v>0</v>
      </c>
      <c r="B111" s="3" t="s">
        <v>10</v>
      </c>
    </row>
    <row r="112" spans="1:14">
      <c r="A112" s="1" t="s">
        <v>7</v>
      </c>
      <c r="B112" s="3" t="s">
        <v>11</v>
      </c>
    </row>
    <row r="113" spans="1:2">
      <c r="A113" s="1" t="s">
        <v>8</v>
      </c>
      <c r="B113" s="3" t="s">
        <v>12</v>
      </c>
    </row>
    <row r="114" spans="1:2">
      <c r="A114" s="1" t="s">
        <v>13</v>
      </c>
      <c r="B114" s="3" t="s">
        <v>14</v>
      </c>
    </row>
  </sheetData>
  <mergeCells count="2">
    <mergeCell ref="A1:C1"/>
    <mergeCell ref="A2:A10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F000-A957-49D6-875F-714737A66122}">
  <dimension ref="A1:P114"/>
  <sheetViews>
    <sheetView tabSelected="1" zoomScale="85" zoomScaleNormal="85" workbookViewId="0">
      <selection activeCell="D6" sqref="D6"/>
    </sheetView>
  </sheetViews>
  <sheetFormatPr baseColWidth="10" defaultRowHeight="12.75"/>
  <cols>
    <col min="6" max="6" width="14.85546875" customWidth="1"/>
    <col min="7" max="7" width="11.42578125" style="33"/>
  </cols>
  <sheetData>
    <row r="1" spans="1:16" ht="14.25" thickTop="1" thickBot="1">
      <c r="A1" s="20" t="s">
        <v>15</v>
      </c>
      <c r="B1" s="21"/>
      <c r="C1" s="22"/>
      <c r="D1" s="23" t="s">
        <v>16</v>
      </c>
      <c r="E1" s="24" t="s">
        <v>17</v>
      </c>
      <c r="F1" s="4" t="s">
        <v>29</v>
      </c>
      <c r="G1" s="6" t="s">
        <v>0</v>
      </c>
      <c r="H1" s="6" t="s">
        <v>1</v>
      </c>
      <c r="I1" s="1" t="s">
        <v>7</v>
      </c>
      <c r="J1" s="1" t="s">
        <v>8</v>
      </c>
      <c r="K1" s="1" t="s">
        <v>13</v>
      </c>
    </row>
    <row r="2" spans="1:16" ht="13.5" thickTop="1">
      <c r="A2" s="26" t="s">
        <v>77</v>
      </c>
      <c r="B2" s="11" t="s">
        <v>18</v>
      </c>
      <c r="C2" s="27" t="s">
        <v>19</v>
      </c>
      <c r="D2" s="79">
        <f>+'Cálculo Gini'!M2</f>
        <v>18000</v>
      </c>
      <c r="E2" s="13">
        <v>298120</v>
      </c>
      <c r="F2" s="9">
        <f>D2*E2</f>
        <v>5366160000</v>
      </c>
      <c r="G2" s="32">
        <f t="shared" ref="G2:G65" si="0">+E2/E$101</f>
        <v>1.0095964150860904E-2</v>
      </c>
      <c r="H2" s="34">
        <f>F2/F$101</f>
        <v>1.1626164046357626E-3</v>
      </c>
      <c r="I2" s="7">
        <f>+G2</f>
        <v>1.0095964150860904E-2</v>
      </c>
      <c r="J2" s="8">
        <f>+H2</f>
        <v>1.1626164046357626E-3</v>
      </c>
      <c r="K2" s="2">
        <f>I2-J2</f>
        <v>8.9333477462251419E-3</v>
      </c>
      <c r="M2" s="87" t="s">
        <v>131</v>
      </c>
      <c r="N2" s="88"/>
      <c r="O2" s="88"/>
      <c r="P2" s="89"/>
    </row>
    <row r="3" spans="1:16">
      <c r="A3" s="28"/>
      <c r="B3" s="14" t="s">
        <v>20</v>
      </c>
      <c r="C3" s="29" t="s">
        <v>19</v>
      </c>
      <c r="D3" s="83">
        <f>+'Cálculo Gini'!M3</f>
        <v>23000</v>
      </c>
      <c r="E3" s="16">
        <v>299409</v>
      </c>
      <c r="F3" s="9">
        <f t="shared" ref="F3:F66" si="1">D3*E3</f>
        <v>6886407000</v>
      </c>
      <c r="G3" s="32">
        <f t="shared" si="0"/>
        <v>1.0139616699467035E-2</v>
      </c>
      <c r="H3" s="34">
        <f t="shared" ref="H3:H66" si="2">F3/F$101</f>
        <v>1.4919886375356958E-3</v>
      </c>
      <c r="I3" s="7">
        <f>+G3+I2</f>
        <v>2.023558085032794E-2</v>
      </c>
      <c r="J3" s="8">
        <f>+H3+J2</f>
        <v>2.6546050421714582E-3</v>
      </c>
      <c r="K3" s="2">
        <f t="shared" ref="K3:K66" si="3">I3-J3</f>
        <v>1.7580975808156481E-2</v>
      </c>
      <c r="M3" s="90"/>
      <c r="N3" s="91"/>
      <c r="O3" s="91"/>
      <c r="P3" s="92"/>
    </row>
    <row r="4" spans="1:16" ht="13.5" thickBot="1">
      <c r="A4" s="28"/>
      <c r="B4" s="14" t="s">
        <v>21</v>
      </c>
      <c r="C4" s="29" t="s">
        <v>19</v>
      </c>
      <c r="D4" s="83">
        <f>+'Cálculo Gini'!M4</f>
        <v>26500</v>
      </c>
      <c r="E4" s="16">
        <v>297954</v>
      </c>
      <c r="F4" s="9">
        <f t="shared" si="1"/>
        <v>7895781000</v>
      </c>
      <c r="G4" s="32">
        <f t="shared" si="0"/>
        <v>1.0090342488278579E-2</v>
      </c>
      <c r="H4" s="34">
        <f t="shared" si="2"/>
        <v>1.7106766324543746E-3</v>
      </c>
      <c r="I4" s="7">
        <f t="shared" ref="I4:J67" si="4">+G4+I3</f>
        <v>3.0325923338606519E-2</v>
      </c>
      <c r="J4" s="8">
        <f t="shared" si="4"/>
        <v>4.365281674625833E-3</v>
      </c>
      <c r="K4" s="2">
        <f t="shared" si="3"/>
        <v>2.5960641663980686E-2</v>
      </c>
      <c r="M4" s="93"/>
      <c r="N4" s="94"/>
      <c r="O4" s="94"/>
      <c r="P4" s="95"/>
    </row>
    <row r="5" spans="1:16">
      <c r="A5" s="28"/>
      <c r="B5" s="14" t="s">
        <v>22</v>
      </c>
      <c r="C5" s="29" t="s">
        <v>19</v>
      </c>
      <c r="D5" s="83">
        <f>+'Cálculo Gini'!M5</f>
        <v>29000</v>
      </c>
      <c r="E5" s="16">
        <v>299681</v>
      </c>
      <c r="F5" s="9">
        <f t="shared" si="1"/>
        <v>8690749000</v>
      </c>
      <c r="G5" s="32">
        <f t="shared" si="0"/>
        <v>1.0148828098397112E-2</v>
      </c>
      <c r="H5" s="34">
        <f t="shared" si="2"/>
        <v>1.8829120555428555E-3</v>
      </c>
      <c r="I5" s="7">
        <f t="shared" si="4"/>
        <v>4.0474751437003631E-2</v>
      </c>
      <c r="J5" s="8">
        <f t="shared" si="4"/>
        <v>6.2481937301686885E-3</v>
      </c>
      <c r="K5" s="2">
        <f t="shared" si="3"/>
        <v>3.4226557706834942E-2</v>
      </c>
    </row>
    <row r="6" spans="1:16">
      <c r="A6" s="28"/>
      <c r="B6" s="14" t="s">
        <v>23</v>
      </c>
      <c r="C6" s="29" t="s">
        <v>19</v>
      </c>
      <c r="D6" s="15">
        <v>29996.824538919645</v>
      </c>
      <c r="E6" s="16">
        <v>295198</v>
      </c>
      <c r="F6" s="9">
        <f t="shared" si="1"/>
        <v>8855002610.2400017</v>
      </c>
      <c r="G6" s="32">
        <f t="shared" si="0"/>
        <v>9.9970093432370771E-3</v>
      </c>
      <c r="H6" s="34">
        <f t="shared" si="2"/>
        <v>1.918498758471146E-3</v>
      </c>
      <c r="I6" s="7">
        <f t="shared" si="4"/>
        <v>5.047176078024071E-2</v>
      </c>
      <c r="J6" s="8">
        <f t="shared" si="4"/>
        <v>8.1666924886398349E-3</v>
      </c>
      <c r="K6" s="2">
        <f t="shared" si="3"/>
        <v>4.2305068291600877E-2</v>
      </c>
    </row>
    <row r="7" spans="1:16">
      <c r="A7" s="28"/>
      <c r="B7" s="14" t="s">
        <v>24</v>
      </c>
      <c r="C7" s="29" t="s">
        <v>19</v>
      </c>
      <c r="D7" s="15">
        <v>31768.946678634758</v>
      </c>
      <c r="E7" s="16">
        <v>296622</v>
      </c>
      <c r="F7" s="9">
        <f t="shared" si="1"/>
        <v>9423368501.7099991</v>
      </c>
      <c r="G7" s="32">
        <f t="shared" si="0"/>
        <v>1.0045233725871003E-2</v>
      </c>
      <c r="H7" s="34">
        <f t="shared" si="2"/>
        <v>2.0416392368129113E-3</v>
      </c>
      <c r="I7" s="7">
        <f t="shared" si="4"/>
        <v>6.0516994506111713E-2</v>
      </c>
      <c r="J7" s="8">
        <f t="shared" si="4"/>
        <v>1.0208331725452746E-2</v>
      </c>
      <c r="K7" s="2">
        <f t="shared" si="3"/>
        <v>5.0308662780658965E-2</v>
      </c>
    </row>
    <row r="8" spans="1:16">
      <c r="A8" s="28"/>
      <c r="B8" s="14" t="s">
        <v>25</v>
      </c>
      <c r="C8" s="29" t="s">
        <v>19</v>
      </c>
      <c r="D8" s="15">
        <v>33302.314543825596</v>
      </c>
      <c r="E8" s="16">
        <v>301365</v>
      </c>
      <c r="F8" s="9">
        <f t="shared" si="1"/>
        <v>10036152022.5</v>
      </c>
      <c r="G8" s="32">
        <f t="shared" si="0"/>
        <v>1.0205857494714197E-2</v>
      </c>
      <c r="H8" s="34">
        <f t="shared" si="2"/>
        <v>2.1744031077673585E-3</v>
      </c>
      <c r="I8" s="7">
        <f t="shared" si="4"/>
        <v>7.0722852000825912E-2</v>
      </c>
      <c r="J8" s="8">
        <f t="shared" si="4"/>
        <v>1.2382734833220103E-2</v>
      </c>
      <c r="K8" s="2">
        <f t="shared" si="3"/>
        <v>5.8340117167605808E-2</v>
      </c>
    </row>
    <row r="9" spans="1:16">
      <c r="A9" s="28"/>
      <c r="B9" s="14" t="s">
        <v>26</v>
      </c>
      <c r="C9" s="29" t="s">
        <v>19</v>
      </c>
      <c r="D9" s="15">
        <v>35185.628115447413</v>
      </c>
      <c r="E9" s="16">
        <v>297694</v>
      </c>
      <c r="F9" s="9">
        <f t="shared" si="1"/>
        <v>10474550376.200003</v>
      </c>
      <c r="G9" s="32">
        <f t="shared" si="0"/>
        <v>1.0081537474595418E-2</v>
      </c>
      <c r="H9" s="34">
        <f t="shared" si="2"/>
        <v>2.2693852025571027E-3</v>
      </c>
      <c r="I9" s="7">
        <f t="shared" si="4"/>
        <v>8.0804389475421332E-2</v>
      </c>
      <c r="J9" s="8">
        <f t="shared" si="4"/>
        <v>1.4652120035777205E-2</v>
      </c>
      <c r="K9" s="2">
        <f t="shared" si="3"/>
        <v>6.6152269439644126E-2</v>
      </c>
    </row>
    <row r="10" spans="1:16">
      <c r="A10" s="28"/>
      <c r="B10" s="14" t="s">
        <v>27</v>
      </c>
      <c r="C10" s="29" t="s">
        <v>19</v>
      </c>
      <c r="D10" s="15">
        <v>37112.295676538175</v>
      </c>
      <c r="E10" s="16">
        <v>297995</v>
      </c>
      <c r="F10" s="9">
        <f t="shared" si="1"/>
        <v>11059278550.129993</v>
      </c>
      <c r="G10" s="32">
        <f t="shared" si="0"/>
        <v>1.009173097120554E-2</v>
      </c>
      <c r="H10" s="34">
        <f t="shared" si="2"/>
        <v>2.396070684775993E-3</v>
      </c>
      <c r="I10" s="7">
        <f t="shared" si="4"/>
        <v>9.0896120446626871E-2</v>
      </c>
      <c r="J10" s="8">
        <f t="shared" si="4"/>
        <v>1.7048190720553198E-2</v>
      </c>
      <c r="K10" s="2">
        <f t="shared" si="3"/>
        <v>7.384792972607368E-2</v>
      </c>
    </row>
    <row r="11" spans="1:16">
      <c r="A11" s="28"/>
      <c r="B11" s="14" t="s">
        <v>28</v>
      </c>
      <c r="C11" s="29" t="s">
        <v>19</v>
      </c>
      <c r="D11" s="15">
        <v>39258.35337142663</v>
      </c>
      <c r="E11" s="16">
        <v>296640</v>
      </c>
      <c r="F11" s="9">
        <f t="shared" si="1"/>
        <v>11645597944.099997</v>
      </c>
      <c r="G11" s="32">
        <f t="shared" si="0"/>
        <v>1.0045843303741376E-2</v>
      </c>
      <c r="H11" s="34">
        <f t="shared" si="2"/>
        <v>2.5231009160373839E-3</v>
      </c>
      <c r="I11" s="7">
        <f t="shared" si="4"/>
        <v>0.10094196375036825</v>
      </c>
      <c r="J11" s="8">
        <f t="shared" si="4"/>
        <v>1.9571291636590583E-2</v>
      </c>
      <c r="K11" s="2">
        <f t="shared" si="3"/>
        <v>8.1370672113777659E-2</v>
      </c>
    </row>
    <row r="12" spans="1:16">
      <c r="A12" s="28"/>
      <c r="B12" s="14" t="s">
        <v>37</v>
      </c>
      <c r="C12" s="29" t="s">
        <v>19</v>
      </c>
      <c r="D12" s="15">
        <v>40356.134244849243</v>
      </c>
      <c r="E12" s="16">
        <v>299907</v>
      </c>
      <c r="F12" s="9">
        <f t="shared" si="1"/>
        <v>12103087152.970001</v>
      </c>
      <c r="G12" s="32">
        <f t="shared" si="0"/>
        <v>1.0156481687214013E-2</v>
      </c>
      <c r="H12" s="34">
        <f t="shared" si="2"/>
        <v>2.6222191792229961E-3</v>
      </c>
      <c r="I12" s="7">
        <f t="shared" si="4"/>
        <v>0.11109844543758227</v>
      </c>
      <c r="J12" s="8">
        <f t="shared" si="4"/>
        <v>2.219351081581358E-2</v>
      </c>
      <c r="K12" s="2">
        <f t="shared" si="3"/>
        <v>8.8904934621768683E-2</v>
      </c>
    </row>
    <row r="13" spans="1:16">
      <c r="A13" s="28"/>
      <c r="B13" s="14" t="s">
        <v>38</v>
      </c>
      <c r="C13" s="29" t="s">
        <v>19</v>
      </c>
      <c r="D13" s="15">
        <v>42797.303005950103</v>
      </c>
      <c r="E13" s="16">
        <v>297979</v>
      </c>
      <c r="F13" s="9">
        <f t="shared" si="1"/>
        <v>12752697552.410006</v>
      </c>
      <c r="G13" s="32">
        <f t="shared" si="0"/>
        <v>1.0091189124209653E-2</v>
      </c>
      <c r="H13" s="34">
        <f t="shared" si="2"/>
        <v>2.7629618531296515E-3</v>
      </c>
      <c r="I13" s="7">
        <f t="shared" si="4"/>
        <v>0.12118963456179192</v>
      </c>
      <c r="J13" s="8">
        <f t="shared" si="4"/>
        <v>2.4956472668943231E-2</v>
      </c>
      <c r="K13" s="2">
        <f t="shared" si="3"/>
        <v>9.6233161892848695E-2</v>
      </c>
    </row>
    <row r="14" spans="1:16">
      <c r="A14" s="28"/>
      <c r="B14" s="14" t="s">
        <v>39</v>
      </c>
      <c r="C14" s="29" t="s">
        <v>19</v>
      </c>
      <c r="D14" s="15">
        <v>44514.885576352717</v>
      </c>
      <c r="E14" s="16">
        <v>298758</v>
      </c>
      <c r="F14" s="9">
        <f t="shared" si="1"/>
        <v>13299178185.019985</v>
      </c>
      <c r="G14" s="32">
        <f t="shared" si="0"/>
        <v>1.0117570299821892E-2</v>
      </c>
      <c r="H14" s="34">
        <f t="shared" si="2"/>
        <v>2.8813607358107664E-3</v>
      </c>
      <c r="I14" s="7">
        <f t="shared" si="4"/>
        <v>0.13130720486161382</v>
      </c>
      <c r="J14" s="8">
        <f t="shared" si="4"/>
        <v>2.7837833404753997E-2</v>
      </c>
      <c r="K14" s="2">
        <f t="shared" si="3"/>
        <v>0.10346937145685982</v>
      </c>
    </row>
    <row r="15" spans="1:16">
      <c r="A15" s="28"/>
      <c r="B15" s="14" t="s">
        <v>40</v>
      </c>
      <c r="C15" s="29" t="s">
        <v>19</v>
      </c>
      <c r="D15" s="15">
        <v>46458.17502598375</v>
      </c>
      <c r="E15" s="16">
        <v>296531</v>
      </c>
      <c r="F15" s="9">
        <f t="shared" si="1"/>
        <v>13776289098.629988</v>
      </c>
      <c r="G15" s="32">
        <f t="shared" si="0"/>
        <v>1.0042151971081896E-2</v>
      </c>
      <c r="H15" s="34">
        <f t="shared" si="2"/>
        <v>2.9847301796949864E-3</v>
      </c>
      <c r="I15" s="7">
        <f t="shared" si="4"/>
        <v>0.14134935683269573</v>
      </c>
      <c r="J15" s="8">
        <f t="shared" si="4"/>
        <v>3.0822563584448983E-2</v>
      </c>
      <c r="K15" s="2">
        <f t="shared" si="3"/>
        <v>0.11052679324824674</v>
      </c>
    </row>
    <row r="16" spans="1:16">
      <c r="A16" s="28"/>
      <c r="B16" s="14" t="s">
        <v>41</v>
      </c>
      <c r="C16" s="29" t="s">
        <v>19</v>
      </c>
      <c r="D16" s="15">
        <v>48389.470125143212</v>
      </c>
      <c r="E16" s="16">
        <v>301095</v>
      </c>
      <c r="F16" s="9">
        <f t="shared" si="1"/>
        <v>14569827507.329996</v>
      </c>
      <c r="G16" s="32">
        <f t="shared" si="0"/>
        <v>1.0196713826658607E-2</v>
      </c>
      <c r="H16" s="34">
        <f t="shared" si="2"/>
        <v>3.1566558717472525E-3</v>
      </c>
      <c r="I16" s="7">
        <f t="shared" si="4"/>
        <v>0.15154607065935433</v>
      </c>
      <c r="J16" s="8">
        <f t="shared" si="4"/>
        <v>3.3979219456196239E-2</v>
      </c>
      <c r="K16" s="2">
        <f t="shared" si="3"/>
        <v>0.11756685120315809</v>
      </c>
    </row>
    <row r="17" spans="1:11">
      <c r="A17" s="28"/>
      <c r="B17" s="14" t="s">
        <v>42</v>
      </c>
      <c r="C17" s="29" t="s">
        <v>19</v>
      </c>
      <c r="D17" s="15">
        <v>50081.645922657408</v>
      </c>
      <c r="E17" s="16">
        <v>297223</v>
      </c>
      <c r="F17" s="9">
        <f t="shared" si="1"/>
        <v>14885417046.070004</v>
      </c>
      <c r="G17" s="32">
        <f t="shared" si="0"/>
        <v>1.0065586853654001E-2</v>
      </c>
      <c r="H17" s="34">
        <f t="shared" si="2"/>
        <v>3.2250305707630417E-3</v>
      </c>
      <c r="I17" s="7">
        <f t="shared" si="4"/>
        <v>0.16161165751300832</v>
      </c>
      <c r="J17" s="8">
        <f t="shared" si="4"/>
        <v>3.7204250026959283E-2</v>
      </c>
      <c r="K17" s="2">
        <f t="shared" si="3"/>
        <v>0.12440740748604903</v>
      </c>
    </row>
    <row r="18" spans="1:11">
      <c r="A18" s="28"/>
      <c r="B18" s="14" t="s">
        <v>43</v>
      </c>
      <c r="C18" s="29" t="s">
        <v>19</v>
      </c>
      <c r="D18" s="15">
        <v>52118.37931958674</v>
      </c>
      <c r="E18" s="16">
        <v>299274</v>
      </c>
      <c r="F18" s="9">
        <f t="shared" si="1"/>
        <v>15597675852.490002</v>
      </c>
      <c r="G18" s="32">
        <f t="shared" si="0"/>
        <v>1.013504486543924E-2</v>
      </c>
      <c r="H18" s="34">
        <f t="shared" si="2"/>
        <v>3.3793464638206799E-3</v>
      </c>
      <c r="I18" s="7">
        <f t="shared" si="4"/>
        <v>0.17174670237844755</v>
      </c>
      <c r="J18" s="8">
        <f t="shared" si="4"/>
        <v>4.0583596490779965E-2</v>
      </c>
      <c r="K18" s="2">
        <f t="shared" si="3"/>
        <v>0.13116310588766758</v>
      </c>
    </row>
    <row r="19" spans="1:11">
      <c r="A19" s="28"/>
      <c r="B19" s="14" t="s">
        <v>44</v>
      </c>
      <c r="C19" s="29" t="s">
        <v>19</v>
      </c>
      <c r="D19" s="15">
        <v>53972.392437623137</v>
      </c>
      <c r="E19" s="16">
        <v>297466</v>
      </c>
      <c r="F19" s="9">
        <f t="shared" si="1"/>
        <v>16054951688.850004</v>
      </c>
      <c r="G19" s="32">
        <f t="shared" si="0"/>
        <v>1.0073816154904032E-2</v>
      </c>
      <c r="H19" s="34">
        <f t="shared" si="2"/>
        <v>3.4784184983473578E-3</v>
      </c>
      <c r="I19" s="7">
        <f t="shared" si="4"/>
        <v>0.18182051853335157</v>
      </c>
      <c r="J19" s="8">
        <f t="shared" si="4"/>
        <v>4.4062014989127325E-2</v>
      </c>
      <c r="K19" s="2">
        <f t="shared" si="3"/>
        <v>0.13775850354422425</v>
      </c>
    </row>
    <row r="20" spans="1:11">
      <c r="A20" s="28"/>
      <c r="B20" s="14" t="s">
        <v>45</v>
      </c>
      <c r="C20" s="29" t="s">
        <v>19</v>
      </c>
      <c r="D20" s="15">
        <v>56243.429096033055</v>
      </c>
      <c r="E20" s="16">
        <v>298241</v>
      </c>
      <c r="F20" s="9">
        <f t="shared" si="1"/>
        <v>16774096537.029995</v>
      </c>
      <c r="G20" s="32">
        <f t="shared" si="0"/>
        <v>1.01000618687673E-2</v>
      </c>
      <c r="H20" s="34">
        <f t="shared" si="2"/>
        <v>3.6342263009107091E-3</v>
      </c>
      <c r="I20" s="7">
        <f t="shared" si="4"/>
        <v>0.19192058040211887</v>
      </c>
      <c r="J20" s="8">
        <f t="shared" si="4"/>
        <v>4.7696241290038036E-2</v>
      </c>
      <c r="K20" s="2">
        <f t="shared" si="3"/>
        <v>0.14422433911208082</v>
      </c>
    </row>
    <row r="21" spans="1:11">
      <c r="A21" s="28"/>
      <c r="B21" s="14" t="s">
        <v>46</v>
      </c>
      <c r="C21" s="29" t="s">
        <v>19</v>
      </c>
      <c r="D21" s="15">
        <v>57689.361832290931</v>
      </c>
      <c r="E21" s="16">
        <v>298195</v>
      </c>
      <c r="F21" s="9">
        <f t="shared" si="1"/>
        <v>17202679251.579994</v>
      </c>
      <c r="G21" s="32">
        <f t="shared" si="0"/>
        <v>1.0098504058654124E-2</v>
      </c>
      <c r="H21" s="34">
        <f t="shared" si="2"/>
        <v>3.7270817682615066E-3</v>
      </c>
      <c r="I21" s="7">
        <f t="shared" si="4"/>
        <v>0.20201908446077299</v>
      </c>
      <c r="J21" s="8">
        <f t="shared" si="4"/>
        <v>5.1423323058299539E-2</v>
      </c>
      <c r="K21" s="2">
        <f t="shared" si="3"/>
        <v>0.15059576140247344</v>
      </c>
    </row>
    <row r="22" spans="1:11">
      <c r="A22" s="28"/>
      <c r="B22" s="14" t="s">
        <v>47</v>
      </c>
      <c r="C22" s="29" t="s">
        <v>19</v>
      </c>
      <c r="D22" s="15">
        <v>59565.537692297396</v>
      </c>
      <c r="E22" s="16">
        <v>297924</v>
      </c>
      <c r="F22" s="9">
        <f t="shared" si="1"/>
        <v>17746003251.44001</v>
      </c>
      <c r="G22" s="32">
        <f t="shared" si="0"/>
        <v>1.0089326525161292E-2</v>
      </c>
      <c r="H22" s="34">
        <f t="shared" si="2"/>
        <v>3.8447967441976646E-3</v>
      </c>
      <c r="I22" s="7">
        <f t="shared" si="4"/>
        <v>0.21210841098593428</v>
      </c>
      <c r="J22" s="8">
        <f t="shared" si="4"/>
        <v>5.5268119802497205E-2</v>
      </c>
      <c r="K22" s="2">
        <f t="shared" si="3"/>
        <v>0.15684029118343706</v>
      </c>
    </row>
    <row r="23" spans="1:11">
      <c r="A23" s="28"/>
      <c r="B23" s="14" t="s">
        <v>48</v>
      </c>
      <c r="C23" s="29" t="s">
        <v>19</v>
      </c>
      <c r="D23" s="15">
        <v>61355.676584507411</v>
      </c>
      <c r="E23" s="16">
        <v>298607</v>
      </c>
      <c r="F23" s="9">
        <f t="shared" si="1"/>
        <v>18321234517.870003</v>
      </c>
      <c r="G23" s="32">
        <f t="shared" si="0"/>
        <v>1.0112456618798209E-2</v>
      </c>
      <c r="H23" s="34">
        <f t="shared" si="2"/>
        <v>3.9694246544371868E-3</v>
      </c>
      <c r="I23" s="7">
        <f t="shared" si="4"/>
        <v>0.22222086760473247</v>
      </c>
      <c r="J23" s="8">
        <f t="shared" si="4"/>
        <v>5.9237544456934389E-2</v>
      </c>
      <c r="K23" s="2">
        <f t="shared" si="3"/>
        <v>0.16298332314779809</v>
      </c>
    </row>
    <row r="24" spans="1:11">
      <c r="A24" s="28"/>
      <c r="B24" s="14" t="s">
        <v>49</v>
      </c>
      <c r="C24" s="29" t="s">
        <v>19</v>
      </c>
      <c r="D24" s="15">
        <v>63279.988038342111</v>
      </c>
      <c r="E24" s="16">
        <v>298314</v>
      </c>
      <c r="F24" s="9">
        <f t="shared" si="1"/>
        <v>18877306351.669987</v>
      </c>
      <c r="G24" s="32">
        <f t="shared" si="0"/>
        <v>1.0102534045686033E-2</v>
      </c>
      <c r="H24" s="34">
        <f t="shared" si="2"/>
        <v>4.089901538490542E-3</v>
      </c>
      <c r="I24" s="7">
        <f t="shared" si="4"/>
        <v>0.23232340165041851</v>
      </c>
      <c r="J24" s="8">
        <f t="shared" si="4"/>
        <v>6.3327445995424933E-2</v>
      </c>
      <c r="K24" s="2">
        <f t="shared" si="3"/>
        <v>0.16899595565499359</v>
      </c>
    </row>
    <row r="25" spans="1:11">
      <c r="A25" s="28"/>
      <c r="B25" s="14" t="s">
        <v>50</v>
      </c>
      <c r="C25" s="29" t="s">
        <v>19</v>
      </c>
      <c r="D25" s="15">
        <v>65074.406006654157</v>
      </c>
      <c r="E25" s="16">
        <v>298459</v>
      </c>
      <c r="F25" s="9">
        <f t="shared" si="1"/>
        <v>19422042142.339993</v>
      </c>
      <c r="G25" s="32">
        <f t="shared" si="0"/>
        <v>1.0107444534086256E-2</v>
      </c>
      <c r="H25" s="34">
        <f t="shared" si="2"/>
        <v>4.2079223888612316E-3</v>
      </c>
      <c r="I25" s="7">
        <f t="shared" si="4"/>
        <v>0.24243084618450478</v>
      </c>
      <c r="J25" s="8">
        <f t="shared" si="4"/>
        <v>6.7535368384286171E-2</v>
      </c>
      <c r="K25" s="2">
        <f t="shared" si="3"/>
        <v>0.17489547780021861</v>
      </c>
    </row>
    <row r="26" spans="1:11">
      <c r="A26" s="28"/>
      <c r="B26" s="14" t="s">
        <v>51</v>
      </c>
      <c r="C26" s="29" t="s">
        <v>19</v>
      </c>
      <c r="D26" s="15">
        <v>66958.544682259977</v>
      </c>
      <c r="E26" s="16">
        <v>297948</v>
      </c>
      <c r="F26" s="9">
        <f t="shared" si="1"/>
        <v>19950164470.989994</v>
      </c>
      <c r="G26" s="32">
        <f t="shared" si="0"/>
        <v>1.0090139295655122E-2</v>
      </c>
      <c r="H26" s="34">
        <f t="shared" si="2"/>
        <v>4.322343815531874E-3</v>
      </c>
      <c r="I26" s="7">
        <f t="shared" si="4"/>
        <v>0.25252098548015989</v>
      </c>
      <c r="J26" s="8">
        <f t="shared" si="4"/>
        <v>7.1857712199818041E-2</v>
      </c>
      <c r="K26" s="2">
        <f t="shared" si="3"/>
        <v>0.18066327328034185</v>
      </c>
    </row>
    <row r="27" spans="1:11">
      <c r="A27" s="28"/>
      <c r="B27" s="14" t="s">
        <v>52</v>
      </c>
      <c r="C27" s="29" t="s">
        <v>19</v>
      </c>
      <c r="D27" s="15">
        <v>68618.073932304149</v>
      </c>
      <c r="E27" s="16">
        <v>298423</v>
      </c>
      <c r="F27" s="9">
        <f t="shared" si="1"/>
        <v>20477211477.100002</v>
      </c>
      <c r="G27" s="32">
        <f t="shared" si="0"/>
        <v>1.0106225378345511E-2</v>
      </c>
      <c r="H27" s="34">
        <f t="shared" si="2"/>
        <v>4.4365322659913574E-3</v>
      </c>
      <c r="I27" s="7">
        <f t="shared" si="4"/>
        <v>0.26262721085850538</v>
      </c>
      <c r="J27" s="8">
        <f t="shared" si="4"/>
        <v>7.6294244465809402E-2</v>
      </c>
      <c r="K27" s="2">
        <f t="shared" si="3"/>
        <v>0.18633296639269598</v>
      </c>
    </row>
    <row r="28" spans="1:11">
      <c r="A28" s="28"/>
      <c r="B28" s="14" t="s">
        <v>53</v>
      </c>
      <c r="C28" s="29" t="s">
        <v>19</v>
      </c>
      <c r="D28" s="15">
        <v>70604.360157013798</v>
      </c>
      <c r="E28" s="16">
        <v>297044</v>
      </c>
      <c r="F28" s="9">
        <f t="shared" si="1"/>
        <v>20972601558.480007</v>
      </c>
      <c r="G28" s="32">
        <f t="shared" si="0"/>
        <v>1.0059524940387518E-2</v>
      </c>
      <c r="H28" s="34">
        <f t="shared" si="2"/>
        <v>4.5438620204724459E-3</v>
      </c>
      <c r="I28" s="7">
        <f t="shared" si="4"/>
        <v>0.27268673579889291</v>
      </c>
      <c r="J28" s="8">
        <f t="shared" si="4"/>
        <v>8.0838106486281841E-2</v>
      </c>
      <c r="K28" s="2">
        <f t="shared" si="3"/>
        <v>0.19184862931261107</v>
      </c>
    </row>
    <row r="29" spans="1:11">
      <c r="A29" s="28"/>
      <c r="B29" s="14" t="s">
        <v>54</v>
      </c>
      <c r="C29" s="29" t="s">
        <v>19</v>
      </c>
      <c r="D29" s="15">
        <v>72608.646314288359</v>
      </c>
      <c r="E29" s="16">
        <v>300482</v>
      </c>
      <c r="F29" s="9">
        <f t="shared" si="1"/>
        <v>21817591261.809994</v>
      </c>
      <c r="G29" s="32">
        <f t="shared" si="0"/>
        <v>1.0175954313628695E-2</v>
      </c>
      <c r="H29" s="34">
        <f t="shared" si="2"/>
        <v>4.7269349983262085E-3</v>
      </c>
      <c r="I29" s="7">
        <f t="shared" si="4"/>
        <v>0.28286269011252163</v>
      </c>
      <c r="J29" s="8">
        <f t="shared" si="4"/>
        <v>8.5565041484608056E-2</v>
      </c>
      <c r="K29" s="2">
        <f t="shared" si="3"/>
        <v>0.19729764862791357</v>
      </c>
    </row>
    <row r="30" spans="1:11">
      <c r="A30" s="28"/>
      <c r="B30" s="14" t="s">
        <v>55</v>
      </c>
      <c r="C30" s="29" t="s">
        <v>19</v>
      </c>
      <c r="D30" s="15">
        <v>74678.599880456299</v>
      </c>
      <c r="E30" s="16">
        <v>296628</v>
      </c>
      <c r="F30" s="9">
        <f t="shared" si="1"/>
        <v>22151763725.339993</v>
      </c>
      <c r="G30" s="32">
        <f t="shared" si="0"/>
        <v>1.0045436918494461E-2</v>
      </c>
      <c r="H30" s="34">
        <f t="shared" si="2"/>
        <v>4.7993358190392557E-3</v>
      </c>
      <c r="I30" s="7">
        <f t="shared" si="4"/>
        <v>0.2929081270310161</v>
      </c>
      <c r="J30" s="8">
        <f t="shared" si="4"/>
        <v>9.0364377303647311E-2</v>
      </c>
      <c r="K30" s="2">
        <f t="shared" si="3"/>
        <v>0.20254374972736877</v>
      </c>
    </row>
    <row r="31" spans="1:11">
      <c r="A31" s="28"/>
      <c r="B31" s="14" t="s">
        <v>56</v>
      </c>
      <c r="C31" s="29" t="s">
        <v>19</v>
      </c>
      <c r="D31" s="15">
        <v>75671.761863335996</v>
      </c>
      <c r="E31" s="16">
        <v>298835</v>
      </c>
      <c r="F31" s="9">
        <f t="shared" si="1"/>
        <v>22613370956.430012</v>
      </c>
      <c r="G31" s="32">
        <f t="shared" si="0"/>
        <v>1.0120177938489596E-2</v>
      </c>
      <c r="H31" s="34">
        <f t="shared" si="2"/>
        <v>4.8993462807779562E-3</v>
      </c>
      <c r="I31" s="7">
        <f t="shared" si="4"/>
        <v>0.30302830496950567</v>
      </c>
      <c r="J31" s="8">
        <f t="shared" si="4"/>
        <v>9.5263723584425267E-2</v>
      </c>
      <c r="K31" s="2">
        <f t="shared" si="3"/>
        <v>0.20776458138508042</v>
      </c>
    </row>
    <row r="32" spans="1:11">
      <c r="A32" s="28"/>
      <c r="B32" s="14" t="s">
        <v>57</v>
      </c>
      <c r="C32" s="29" t="s">
        <v>19</v>
      </c>
      <c r="D32" s="15">
        <v>78339.045055020775</v>
      </c>
      <c r="E32" s="16">
        <v>298705</v>
      </c>
      <c r="F32" s="9">
        <f t="shared" si="1"/>
        <v>23400264453.159981</v>
      </c>
      <c r="G32" s="32">
        <f t="shared" si="0"/>
        <v>1.0115775431648016E-2</v>
      </c>
      <c r="H32" s="34">
        <f t="shared" si="2"/>
        <v>5.0698323057938822E-3</v>
      </c>
      <c r="I32" s="7">
        <f t="shared" si="4"/>
        <v>0.31314408040115371</v>
      </c>
      <c r="J32" s="8">
        <f t="shared" si="4"/>
        <v>0.10033355589021915</v>
      </c>
      <c r="K32" s="2">
        <f t="shared" si="3"/>
        <v>0.21281052451093457</v>
      </c>
    </row>
    <row r="33" spans="1:11">
      <c r="A33" s="28"/>
      <c r="B33" s="14" t="s">
        <v>58</v>
      </c>
      <c r="C33" s="29" t="s">
        <v>19</v>
      </c>
      <c r="D33" s="15">
        <v>79953.95625761144</v>
      </c>
      <c r="E33" s="16">
        <v>297906</v>
      </c>
      <c r="F33" s="9">
        <f t="shared" si="1"/>
        <v>23818763292.879993</v>
      </c>
      <c r="G33" s="32">
        <f t="shared" si="0"/>
        <v>1.0088716947290919E-2</v>
      </c>
      <c r="H33" s="34">
        <f t="shared" si="2"/>
        <v>5.1605030305541429E-3</v>
      </c>
      <c r="I33" s="7">
        <f t="shared" si="4"/>
        <v>0.32323279734844462</v>
      </c>
      <c r="J33" s="8">
        <f t="shared" si="4"/>
        <v>0.10549405892077329</v>
      </c>
      <c r="K33" s="2">
        <f t="shared" si="3"/>
        <v>0.21773873842767133</v>
      </c>
    </row>
    <row r="34" spans="1:11">
      <c r="A34" s="28"/>
      <c r="B34" s="14" t="s">
        <v>59</v>
      </c>
      <c r="C34" s="29" t="s">
        <v>19</v>
      </c>
      <c r="D34" s="15">
        <v>81025.917368990238</v>
      </c>
      <c r="E34" s="16">
        <v>297745</v>
      </c>
      <c r="F34" s="9">
        <f t="shared" si="1"/>
        <v>24125061767.029999</v>
      </c>
      <c r="G34" s="32">
        <f t="shared" si="0"/>
        <v>1.0083264611894809E-2</v>
      </c>
      <c r="H34" s="34">
        <f t="shared" si="2"/>
        <v>5.2268647549085596E-3</v>
      </c>
      <c r="I34" s="7">
        <f t="shared" si="4"/>
        <v>0.33331606196033942</v>
      </c>
      <c r="J34" s="8">
        <f t="shared" si="4"/>
        <v>0.11072092367568186</v>
      </c>
      <c r="K34" s="2">
        <f t="shared" si="3"/>
        <v>0.22259513828465755</v>
      </c>
    </row>
    <row r="35" spans="1:11">
      <c r="A35" s="28"/>
      <c r="B35" s="14" t="s">
        <v>60</v>
      </c>
      <c r="C35" s="29" t="s">
        <v>19</v>
      </c>
      <c r="D35" s="15">
        <v>83019.31097729216</v>
      </c>
      <c r="E35" s="16">
        <v>298795</v>
      </c>
      <c r="F35" s="9">
        <f t="shared" si="1"/>
        <v>24805755023.460011</v>
      </c>
      <c r="G35" s="32">
        <f t="shared" si="0"/>
        <v>1.011882332099988E-2</v>
      </c>
      <c r="H35" s="34">
        <f t="shared" si="2"/>
        <v>5.3743417489695777E-3</v>
      </c>
      <c r="I35" s="7">
        <f t="shared" si="4"/>
        <v>0.34343488528133931</v>
      </c>
      <c r="J35" s="8">
        <f t="shared" si="4"/>
        <v>0.11609526542465143</v>
      </c>
      <c r="K35" s="2">
        <f t="shared" si="3"/>
        <v>0.22733961985668788</v>
      </c>
    </row>
    <row r="36" spans="1:11">
      <c r="A36" s="28"/>
      <c r="B36" s="14" t="s">
        <v>61</v>
      </c>
      <c r="C36" s="29" t="s">
        <v>19</v>
      </c>
      <c r="D36" s="15">
        <v>84145.10582290031</v>
      </c>
      <c r="E36" s="16">
        <v>298092</v>
      </c>
      <c r="F36" s="9">
        <f t="shared" si="1"/>
        <v>25082982884.959999</v>
      </c>
      <c r="G36" s="32">
        <f t="shared" si="0"/>
        <v>1.0095015918618104E-2</v>
      </c>
      <c r="H36" s="34">
        <f t="shared" si="2"/>
        <v>5.4344051200956667E-3</v>
      </c>
      <c r="I36" s="7">
        <f t="shared" si="4"/>
        <v>0.35352990119995742</v>
      </c>
      <c r="J36" s="8">
        <f t="shared" si="4"/>
        <v>0.1215296705447471</v>
      </c>
      <c r="K36" s="2">
        <f t="shared" si="3"/>
        <v>0.2320002306552103</v>
      </c>
    </row>
    <row r="37" spans="1:11">
      <c r="A37" s="28"/>
      <c r="B37" s="14" t="s">
        <v>62</v>
      </c>
      <c r="C37" s="29" t="s">
        <v>19</v>
      </c>
      <c r="D37" s="15">
        <v>85769.02956229652</v>
      </c>
      <c r="E37" s="16">
        <v>298307</v>
      </c>
      <c r="F37" s="9">
        <f t="shared" si="1"/>
        <v>25585501901.639988</v>
      </c>
      <c r="G37" s="32">
        <f t="shared" si="0"/>
        <v>1.0102296987625332E-2</v>
      </c>
      <c r="H37" s="34">
        <f t="shared" si="2"/>
        <v>5.5432794086807237E-3</v>
      </c>
      <c r="I37" s="7">
        <f t="shared" si="4"/>
        <v>0.36363219818758274</v>
      </c>
      <c r="J37" s="8">
        <f t="shared" si="4"/>
        <v>0.12707294995342783</v>
      </c>
      <c r="K37" s="2">
        <f t="shared" si="3"/>
        <v>0.23655924823415492</v>
      </c>
    </row>
    <row r="38" spans="1:11">
      <c r="A38" s="28"/>
      <c r="B38" s="14" t="s">
        <v>63</v>
      </c>
      <c r="C38" s="29" t="s">
        <v>19</v>
      </c>
      <c r="D38" s="15">
        <v>87912.491009508696</v>
      </c>
      <c r="E38" s="16">
        <v>300146</v>
      </c>
      <c r="F38" s="9">
        <f t="shared" si="1"/>
        <v>26386582526.539997</v>
      </c>
      <c r="G38" s="32">
        <f t="shared" si="0"/>
        <v>1.0164575526715071E-2</v>
      </c>
      <c r="H38" s="34">
        <f t="shared" si="2"/>
        <v>5.716839175058286E-3</v>
      </c>
      <c r="I38" s="7">
        <f t="shared" si="4"/>
        <v>0.37379677371429781</v>
      </c>
      <c r="J38" s="8">
        <f t="shared" si="4"/>
        <v>0.1327897891284861</v>
      </c>
      <c r="K38" s="2">
        <f t="shared" si="3"/>
        <v>0.24100698458581171</v>
      </c>
    </row>
    <row r="39" spans="1:11">
      <c r="A39" s="28"/>
      <c r="B39" s="14" t="s">
        <v>64</v>
      </c>
      <c r="C39" s="29" t="s">
        <v>19</v>
      </c>
      <c r="D39" s="15">
        <v>89674.519113998118</v>
      </c>
      <c r="E39" s="16">
        <v>297110</v>
      </c>
      <c r="F39" s="9">
        <f t="shared" si="1"/>
        <v>26643196373.95998</v>
      </c>
      <c r="G39" s="32">
        <f t="shared" si="0"/>
        <v>1.0061760059245551E-2</v>
      </c>
      <c r="H39" s="34">
        <f t="shared" si="2"/>
        <v>5.7724363746697715E-3</v>
      </c>
      <c r="I39" s="7">
        <f t="shared" si="4"/>
        <v>0.38385853377354334</v>
      </c>
      <c r="J39" s="8">
        <f t="shared" si="4"/>
        <v>0.13856222550315586</v>
      </c>
      <c r="K39" s="2">
        <f t="shared" si="3"/>
        <v>0.24529630827038748</v>
      </c>
    </row>
    <row r="40" spans="1:11">
      <c r="A40" s="28"/>
      <c r="B40" s="14" t="s">
        <v>65</v>
      </c>
      <c r="C40" s="29" t="s">
        <v>19</v>
      </c>
      <c r="D40" s="15">
        <v>90627.37531355898</v>
      </c>
      <c r="E40" s="16">
        <v>298030</v>
      </c>
      <c r="F40" s="9">
        <f t="shared" si="1"/>
        <v>27009676664.699982</v>
      </c>
      <c r="G40" s="32">
        <f t="shared" si="0"/>
        <v>1.0092916261509042E-2</v>
      </c>
      <c r="H40" s="34">
        <f t="shared" si="2"/>
        <v>5.8518369139734837E-3</v>
      </c>
      <c r="I40" s="7">
        <f t="shared" si="4"/>
        <v>0.39395145003505239</v>
      </c>
      <c r="J40" s="8">
        <f t="shared" si="4"/>
        <v>0.14441406241712934</v>
      </c>
      <c r="K40" s="2">
        <f t="shared" si="3"/>
        <v>0.24953738761792305</v>
      </c>
    </row>
    <row r="41" spans="1:11">
      <c r="A41" s="28"/>
      <c r="B41" s="14" t="s">
        <v>66</v>
      </c>
      <c r="C41" s="29" t="s">
        <v>19</v>
      </c>
      <c r="D41" s="15">
        <v>93053.86710041108</v>
      </c>
      <c r="E41" s="16">
        <v>297049</v>
      </c>
      <c r="F41" s="9">
        <f t="shared" si="1"/>
        <v>27641558168.310013</v>
      </c>
      <c r="G41" s="32">
        <f t="shared" si="0"/>
        <v>1.0059694267573732E-2</v>
      </c>
      <c r="H41" s="34">
        <f t="shared" si="2"/>
        <v>5.9887384975794399E-3</v>
      </c>
      <c r="I41" s="7">
        <f t="shared" si="4"/>
        <v>0.40401114430262614</v>
      </c>
      <c r="J41" s="8">
        <f t="shared" si="4"/>
        <v>0.15040280091470878</v>
      </c>
      <c r="K41" s="2">
        <f t="shared" si="3"/>
        <v>0.25360834338791738</v>
      </c>
    </row>
    <row r="42" spans="1:11">
      <c r="A42" s="28"/>
      <c r="B42" s="14" t="s">
        <v>67</v>
      </c>
      <c r="C42" s="29" t="s">
        <v>19</v>
      </c>
      <c r="D42" s="15">
        <v>95542.292045033464</v>
      </c>
      <c r="E42" s="16">
        <v>299066</v>
      </c>
      <c r="F42" s="9">
        <f t="shared" si="1"/>
        <v>28573451112.739979</v>
      </c>
      <c r="G42" s="32">
        <f t="shared" si="0"/>
        <v>1.0128000854492713E-2</v>
      </c>
      <c r="H42" s="34">
        <f t="shared" si="2"/>
        <v>6.1906396754344796E-3</v>
      </c>
      <c r="I42" s="7">
        <f t="shared" si="4"/>
        <v>0.41413914515711886</v>
      </c>
      <c r="J42" s="8">
        <f t="shared" si="4"/>
        <v>0.15659344059014327</v>
      </c>
      <c r="K42" s="2">
        <f t="shared" si="3"/>
        <v>0.25754570456697556</v>
      </c>
    </row>
    <row r="43" spans="1:11">
      <c r="A43" s="28"/>
      <c r="B43" s="14" t="s">
        <v>68</v>
      </c>
      <c r="C43" s="29" t="s">
        <v>19</v>
      </c>
      <c r="D43" s="15">
        <v>97939.196144636895</v>
      </c>
      <c r="E43" s="16">
        <v>298527</v>
      </c>
      <c r="F43" s="9">
        <f t="shared" si="1"/>
        <v>29237494407.470016</v>
      </c>
      <c r="G43" s="32">
        <f t="shared" si="0"/>
        <v>1.0109747383818776E-2</v>
      </c>
      <c r="H43" s="34">
        <f t="shared" si="2"/>
        <v>6.3345093378823977E-3</v>
      </c>
      <c r="I43" s="7">
        <f t="shared" si="4"/>
        <v>0.42424889254093762</v>
      </c>
      <c r="J43" s="8">
        <f t="shared" si="4"/>
        <v>0.16292794992802567</v>
      </c>
      <c r="K43" s="2">
        <f t="shared" si="3"/>
        <v>0.26132094261291194</v>
      </c>
    </row>
    <row r="44" spans="1:11">
      <c r="A44" s="28"/>
      <c r="B44" s="14" t="s">
        <v>69</v>
      </c>
      <c r="C44" s="29" t="s">
        <v>19</v>
      </c>
      <c r="D44" s="15">
        <v>99949.411283711612</v>
      </c>
      <c r="E44" s="16">
        <v>298673</v>
      </c>
      <c r="F44" s="9">
        <f t="shared" si="1"/>
        <v>29852190516.339996</v>
      </c>
      <c r="G44" s="32">
        <f t="shared" si="0"/>
        <v>1.0114691737656244E-2</v>
      </c>
      <c r="H44" s="34">
        <f t="shared" si="2"/>
        <v>6.4676875845314005E-3</v>
      </c>
      <c r="I44" s="7">
        <f t="shared" si="4"/>
        <v>0.43436358427859384</v>
      </c>
      <c r="J44" s="8">
        <f t="shared" si="4"/>
        <v>0.16939563751255707</v>
      </c>
      <c r="K44" s="2">
        <f t="shared" si="3"/>
        <v>0.26496794676603674</v>
      </c>
    </row>
    <row r="45" spans="1:11">
      <c r="A45" s="28"/>
      <c r="B45" s="14" t="s">
        <v>70</v>
      </c>
      <c r="C45" s="29" t="s">
        <v>19</v>
      </c>
      <c r="D45" s="15">
        <v>100000</v>
      </c>
      <c r="E45" s="16">
        <v>296385</v>
      </c>
      <c r="F45" s="9">
        <f t="shared" si="1"/>
        <v>29638500000</v>
      </c>
      <c r="G45" s="32">
        <f t="shared" si="0"/>
        <v>1.003720761724443E-2</v>
      </c>
      <c r="H45" s="34">
        <f t="shared" si="2"/>
        <v>6.4213900272815294E-3</v>
      </c>
      <c r="I45" s="7">
        <f t="shared" si="4"/>
        <v>0.44440079189583825</v>
      </c>
      <c r="J45" s="8">
        <f t="shared" si="4"/>
        <v>0.17581702753983861</v>
      </c>
      <c r="K45" s="2">
        <f t="shared" si="3"/>
        <v>0.26858376435599962</v>
      </c>
    </row>
    <row r="46" spans="1:11">
      <c r="A46" s="28"/>
      <c r="B46" s="14" t="s">
        <v>71</v>
      </c>
      <c r="C46" s="29" t="s">
        <v>19</v>
      </c>
      <c r="D46" s="15">
        <v>101522.54978097034</v>
      </c>
      <c r="E46" s="16">
        <v>299868</v>
      </c>
      <c r="F46" s="9">
        <f t="shared" si="1"/>
        <v>30443363957.720013</v>
      </c>
      <c r="G46" s="32">
        <f t="shared" si="0"/>
        <v>1.0155160935161538E-2</v>
      </c>
      <c r="H46" s="34">
        <f t="shared" si="2"/>
        <v>6.595769479393534E-3</v>
      </c>
      <c r="I46" s="7">
        <f t="shared" si="4"/>
        <v>0.45455595283099981</v>
      </c>
      <c r="J46" s="8">
        <f t="shared" si="4"/>
        <v>0.18241279701923213</v>
      </c>
      <c r="K46" s="2">
        <f t="shared" si="3"/>
        <v>0.27214315581176768</v>
      </c>
    </row>
    <row r="47" spans="1:11">
      <c r="A47" s="28"/>
      <c r="B47" s="14" t="s">
        <v>72</v>
      </c>
      <c r="C47" s="29" t="s">
        <v>19</v>
      </c>
      <c r="D47" s="15">
        <v>104376.32554333536</v>
      </c>
      <c r="E47" s="16">
        <v>298048</v>
      </c>
      <c r="F47" s="9">
        <f t="shared" si="1"/>
        <v>31109155075.54002</v>
      </c>
      <c r="G47" s="32">
        <f t="shared" si="0"/>
        <v>1.0093525839379414E-2</v>
      </c>
      <c r="H47" s="34">
        <f t="shared" si="2"/>
        <v>6.7400178200390463E-3</v>
      </c>
      <c r="I47" s="7">
        <f t="shared" si="4"/>
        <v>0.4646494786703792</v>
      </c>
      <c r="J47" s="8">
        <f t="shared" si="4"/>
        <v>0.18915281483927118</v>
      </c>
      <c r="K47" s="2">
        <f t="shared" si="3"/>
        <v>0.27549666383110805</v>
      </c>
    </row>
    <row r="48" spans="1:11">
      <c r="A48" s="28"/>
      <c r="B48" s="14" t="s">
        <v>73</v>
      </c>
      <c r="C48" s="29" t="s">
        <v>19</v>
      </c>
      <c r="D48" s="15">
        <v>106780.99779300191</v>
      </c>
      <c r="E48" s="16">
        <v>298283</v>
      </c>
      <c r="F48" s="9">
        <f t="shared" si="1"/>
        <v>31850956364.689987</v>
      </c>
      <c r="G48" s="32">
        <f t="shared" si="0"/>
        <v>1.0101484217131501E-2</v>
      </c>
      <c r="H48" s="34">
        <f t="shared" si="2"/>
        <v>6.900734300305327E-3</v>
      </c>
      <c r="I48" s="7">
        <f t="shared" si="4"/>
        <v>0.47475096288751073</v>
      </c>
      <c r="J48" s="8">
        <f t="shared" si="4"/>
        <v>0.19605354913957651</v>
      </c>
      <c r="K48" s="2">
        <f t="shared" si="3"/>
        <v>0.27869741374793422</v>
      </c>
    </row>
    <row r="49" spans="1:11">
      <c r="A49" s="28"/>
      <c r="B49" s="14" t="s">
        <v>74</v>
      </c>
      <c r="C49" s="29" t="s">
        <v>19</v>
      </c>
      <c r="D49" s="15">
        <v>109080.19373084721</v>
      </c>
      <c r="E49" s="16">
        <v>300870</v>
      </c>
      <c r="F49" s="9">
        <f t="shared" si="1"/>
        <v>32818957887.799999</v>
      </c>
      <c r="G49" s="32">
        <f t="shared" si="0"/>
        <v>1.0189094103278951E-2</v>
      </c>
      <c r="H49" s="34">
        <f t="shared" si="2"/>
        <v>7.1104586563588371E-3</v>
      </c>
      <c r="I49" s="7">
        <f t="shared" si="4"/>
        <v>0.48494005699078968</v>
      </c>
      <c r="J49" s="8">
        <f t="shared" si="4"/>
        <v>0.20316400779593535</v>
      </c>
      <c r="K49" s="2">
        <f t="shared" si="3"/>
        <v>0.28177604919485433</v>
      </c>
    </row>
    <row r="50" spans="1:11">
      <c r="A50" s="28"/>
      <c r="B50" s="14" t="s">
        <v>75</v>
      </c>
      <c r="C50" s="29" t="s">
        <v>19</v>
      </c>
      <c r="D50" s="15">
        <v>111120.39961705299</v>
      </c>
      <c r="E50" s="16">
        <v>294166</v>
      </c>
      <c r="F50" s="9">
        <f t="shared" si="1"/>
        <v>32687843473.750008</v>
      </c>
      <c r="G50" s="32">
        <f t="shared" si="0"/>
        <v>9.9620602120023775E-3</v>
      </c>
      <c r="H50" s="34">
        <f t="shared" si="2"/>
        <v>7.0820517939733096E-3</v>
      </c>
      <c r="I50" s="7">
        <f t="shared" si="4"/>
        <v>0.49490211720279204</v>
      </c>
      <c r="J50" s="8">
        <f t="shared" si="4"/>
        <v>0.21024605958990866</v>
      </c>
      <c r="K50" s="2">
        <f t="shared" si="3"/>
        <v>0.28465605761288337</v>
      </c>
    </row>
    <row r="51" spans="1:11">
      <c r="A51" s="28"/>
      <c r="B51" s="14" t="s">
        <v>76</v>
      </c>
      <c r="C51" s="29" t="s">
        <v>19</v>
      </c>
      <c r="D51" s="15">
        <v>113747.09152465319</v>
      </c>
      <c r="E51" s="16">
        <v>299596</v>
      </c>
      <c r="F51" s="9">
        <f t="shared" si="1"/>
        <v>34078173632.419998</v>
      </c>
      <c r="G51" s="32">
        <f t="shared" si="0"/>
        <v>1.0145949536231463E-2</v>
      </c>
      <c r="H51" s="34">
        <f t="shared" si="2"/>
        <v>7.3832766270624404E-3</v>
      </c>
      <c r="I51" s="7">
        <f t="shared" si="4"/>
        <v>0.50504806673902347</v>
      </c>
      <c r="J51" s="8">
        <f t="shared" si="4"/>
        <v>0.21762933621697111</v>
      </c>
      <c r="K51" s="2">
        <f t="shared" si="3"/>
        <v>0.28741873052205236</v>
      </c>
    </row>
    <row r="52" spans="1:11">
      <c r="A52" s="28"/>
      <c r="B52" s="14" t="s">
        <v>78</v>
      </c>
      <c r="C52" s="29" t="s">
        <v>19</v>
      </c>
      <c r="D52" s="15">
        <v>115982.02912766271</v>
      </c>
      <c r="E52" s="16">
        <v>300675</v>
      </c>
      <c r="F52" s="9">
        <f t="shared" si="1"/>
        <v>34872896607.959984</v>
      </c>
      <c r="G52" s="32">
        <f t="shared" si="0"/>
        <v>1.0182490343016579E-2</v>
      </c>
      <c r="H52" s="34">
        <f t="shared" si="2"/>
        <v>7.5554589638738168E-3</v>
      </c>
      <c r="I52" s="7">
        <f t="shared" si="4"/>
        <v>0.51523055708204002</v>
      </c>
      <c r="J52" s="8">
        <f t="shared" si="4"/>
        <v>0.22518479518084494</v>
      </c>
      <c r="K52" s="2">
        <f t="shared" si="3"/>
        <v>0.29004576190119508</v>
      </c>
    </row>
    <row r="53" spans="1:11">
      <c r="A53" s="28"/>
      <c r="B53" s="14" t="s">
        <v>79</v>
      </c>
      <c r="C53" s="29" t="s">
        <v>19</v>
      </c>
      <c r="D53" s="15">
        <v>118459.17322295895</v>
      </c>
      <c r="E53" s="16">
        <v>295902</v>
      </c>
      <c r="F53" s="9">
        <f t="shared" si="1"/>
        <v>35052306275.020004</v>
      </c>
      <c r="G53" s="32">
        <f t="shared" si="0"/>
        <v>1.0020850611056096E-2</v>
      </c>
      <c r="H53" s="34">
        <f t="shared" si="2"/>
        <v>7.5943293333883711E-3</v>
      </c>
      <c r="I53" s="7">
        <f t="shared" si="4"/>
        <v>0.52525140769309608</v>
      </c>
      <c r="J53" s="8">
        <f t="shared" si="4"/>
        <v>0.23277912451423333</v>
      </c>
      <c r="K53" s="2">
        <f t="shared" si="3"/>
        <v>0.29247228317886276</v>
      </c>
    </row>
    <row r="54" spans="1:11">
      <c r="A54" s="28"/>
      <c r="B54" s="14" t="s">
        <v>80</v>
      </c>
      <c r="C54" s="29" t="s">
        <v>19</v>
      </c>
      <c r="D54" s="15">
        <v>120000</v>
      </c>
      <c r="E54" s="16">
        <v>298577</v>
      </c>
      <c r="F54" s="9">
        <f t="shared" si="1"/>
        <v>35829240000</v>
      </c>
      <c r="G54" s="32">
        <f t="shared" si="0"/>
        <v>1.0111440655680922E-2</v>
      </c>
      <c r="H54" s="34">
        <f t="shared" si="2"/>
        <v>7.7626575036211839E-3</v>
      </c>
      <c r="I54" s="7">
        <f t="shared" si="4"/>
        <v>0.53536284834877701</v>
      </c>
      <c r="J54" s="8">
        <f t="shared" si="4"/>
        <v>0.24054178201785451</v>
      </c>
      <c r="K54" s="2">
        <f t="shared" si="3"/>
        <v>0.29482106633092253</v>
      </c>
    </row>
    <row r="55" spans="1:11">
      <c r="A55" s="28"/>
      <c r="B55" s="14" t="s">
        <v>81</v>
      </c>
      <c r="C55" s="29" t="s">
        <v>19</v>
      </c>
      <c r="D55" s="15">
        <v>121873.92977705148</v>
      </c>
      <c r="E55" s="16">
        <v>302312</v>
      </c>
      <c r="F55" s="9">
        <f t="shared" si="1"/>
        <v>36843951458.759987</v>
      </c>
      <c r="G55" s="32">
        <f t="shared" si="0"/>
        <v>1.0237928063783248E-2</v>
      </c>
      <c r="H55" s="34">
        <f t="shared" si="2"/>
        <v>7.9825018966184578E-3</v>
      </c>
      <c r="I55" s="7">
        <f t="shared" si="4"/>
        <v>0.54560077641256022</v>
      </c>
      <c r="J55" s="8">
        <f t="shared" si="4"/>
        <v>0.24852428391447295</v>
      </c>
      <c r="K55" s="2">
        <f t="shared" si="3"/>
        <v>0.29707649249808726</v>
      </c>
    </row>
    <row r="56" spans="1:11">
      <c r="A56" s="28"/>
      <c r="B56" s="14" t="s">
        <v>82</v>
      </c>
      <c r="C56" s="29" t="s">
        <v>19</v>
      </c>
      <c r="D56" s="15">
        <v>123966.94396720127</v>
      </c>
      <c r="E56" s="16">
        <v>294036</v>
      </c>
      <c r="F56" s="9">
        <f t="shared" si="1"/>
        <v>36450744336.339989</v>
      </c>
      <c r="G56" s="32">
        <f t="shared" si="0"/>
        <v>9.9576577051607978E-3</v>
      </c>
      <c r="H56" s="34">
        <f t="shared" si="2"/>
        <v>7.8973108007612501E-3</v>
      </c>
      <c r="I56" s="7">
        <f t="shared" si="4"/>
        <v>0.55555843411772099</v>
      </c>
      <c r="J56" s="8">
        <f t="shared" si="4"/>
        <v>0.25642159471523418</v>
      </c>
      <c r="K56" s="2">
        <f t="shared" si="3"/>
        <v>0.29913683940248681</v>
      </c>
    </row>
    <row r="57" spans="1:11">
      <c r="A57" s="28"/>
      <c r="B57" s="14" t="s">
        <v>83</v>
      </c>
      <c r="C57" s="29" t="s">
        <v>19</v>
      </c>
      <c r="D57" s="15">
        <v>125021.40139324265</v>
      </c>
      <c r="E57" s="16">
        <v>298785</v>
      </c>
      <c r="F57" s="9">
        <f t="shared" si="1"/>
        <v>37354519415.280006</v>
      </c>
      <c r="G57" s="32">
        <f t="shared" si="0"/>
        <v>1.011848466662745E-2</v>
      </c>
      <c r="H57" s="34">
        <f t="shared" si="2"/>
        <v>8.0931200447786934E-3</v>
      </c>
      <c r="I57" s="7">
        <f t="shared" si="4"/>
        <v>0.56567691878434845</v>
      </c>
      <c r="J57" s="8">
        <f t="shared" si="4"/>
        <v>0.26451471476001287</v>
      </c>
      <c r="K57" s="2">
        <f t="shared" si="3"/>
        <v>0.30116220402433558</v>
      </c>
    </row>
    <row r="58" spans="1:11">
      <c r="A58" s="28"/>
      <c r="B58" s="14" t="s">
        <v>84</v>
      </c>
      <c r="C58" s="29" t="s">
        <v>19</v>
      </c>
      <c r="D58" s="15">
        <v>126937.10250908042</v>
      </c>
      <c r="E58" s="16">
        <v>297619</v>
      </c>
      <c r="F58" s="9">
        <f t="shared" si="1"/>
        <v>37778893511.650002</v>
      </c>
      <c r="G58" s="32">
        <f t="shared" si="0"/>
        <v>1.00789975668022E-2</v>
      </c>
      <c r="H58" s="34">
        <f t="shared" si="2"/>
        <v>8.1850636853228135E-3</v>
      </c>
      <c r="I58" s="7">
        <f t="shared" si="4"/>
        <v>0.57575591635115064</v>
      </c>
      <c r="J58" s="8">
        <f t="shared" si="4"/>
        <v>0.27269977844533566</v>
      </c>
      <c r="K58" s="2">
        <f t="shared" si="3"/>
        <v>0.30305613790581498</v>
      </c>
    </row>
    <row r="59" spans="1:11">
      <c r="A59" s="28"/>
      <c r="B59" s="14" t="s">
        <v>85</v>
      </c>
      <c r="C59" s="29" t="s">
        <v>19</v>
      </c>
      <c r="D59" s="15">
        <v>130131.20565858026</v>
      </c>
      <c r="E59" s="16">
        <v>299637</v>
      </c>
      <c r="F59" s="9">
        <f t="shared" si="1"/>
        <v>38992124069.920013</v>
      </c>
      <c r="G59" s="32">
        <f t="shared" si="0"/>
        <v>1.0147338019158424E-2</v>
      </c>
      <c r="H59" s="34">
        <f t="shared" si="2"/>
        <v>8.4479186411292231E-3</v>
      </c>
      <c r="I59" s="7">
        <f t="shared" si="4"/>
        <v>0.5859032543703091</v>
      </c>
      <c r="J59" s="8">
        <f t="shared" si="4"/>
        <v>0.28114769708646487</v>
      </c>
      <c r="K59" s="2">
        <f t="shared" si="3"/>
        <v>0.30475555728384424</v>
      </c>
    </row>
    <row r="60" spans="1:11">
      <c r="A60" s="28"/>
      <c r="B60" s="14" t="s">
        <v>86</v>
      </c>
      <c r="C60" s="29" t="s">
        <v>19</v>
      </c>
      <c r="D60" s="15">
        <v>132874.19034541064</v>
      </c>
      <c r="E60" s="16">
        <v>296835</v>
      </c>
      <c r="F60" s="9">
        <f t="shared" si="1"/>
        <v>39441710291.17997</v>
      </c>
      <c r="G60" s="32">
        <f t="shared" si="0"/>
        <v>1.0052447064003746E-2</v>
      </c>
      <c r="H60" s="34">
        <f t="shared" si="2"/>
        <v>8.5453246663194943E-3</v>
      </c>
      <c r="I60" s="7">
        <f t="shared" si="4"/>
        <v>0.59595570143431287</v>
      </c>
      <c r="J60" s="8">
        <f t="shared" si="4"/>
        <v>0.28969302175278439</v>
      </c>
      <c r="K60" s="2">
        <f t="shared" si="3"/>
        <v>0.30626267968152848</v>
      </c>
    </row>
    <row r="61" spans="1:11">
      <c r="A61" s="28"/>
      <c r="B61" s="14" t="s">
        <v>87</v>
      </c>
      <c r="C61" s="29" t="s">
        <v>19</v>
      </c>
      <c r="D61" s="15">
        <v>134850.18616542569</v>
      </c>
      <c r="E61" s="16">
        <v>295879</v>
      </c>
      <c r="F61" s="9">
        <f t="shared" si="1"/>
        <v>39899338232.439987</v>
      </c>
      <c r="G61" s="32">
        <f t="shared" si="0"/>
        <v>1.0020071705999509E-2</v>
      </c>
      <c r="H61" s="34">
        <f t="shared" si="2"/>
        <v>8.6444729868557033E-3</v>
      </c>
      <c r="I61" s="7">
        <f t="shared" si="4"/>
        <v>0.60597577314031237</v>
      </c>
      <c r="J61" s="8">
        <f t="shared" si="4"/>
        <v>0.29833749473964011</v>
      </c>
      <c r="K61" s="2">
        <f t="shared" si="3"/>
        <v>0.30763827840067226</v>
      </c>
    </row>
    <row r="62" spans="1:11">
      <c r="A62" s="28"/>
      <c r="B62" s="14" t="s">
        <v>88</v>
      </c>
      <c r="C62" s="29" t="s">
        <v>19</v>
      </c>
      <c r="D62" s="15">
        <v>137656.44973939357</v>
      </c>
      <c r="E62" s="16">
        <v>299494</v>
      </c>
      <c r="F62" s="9">
        <f t="shared" si="1"/>
        <v>41227280758.249939</v>
      </c>
      <c r="G62" s="32">
        <f t="shared" si="0"/>
        <v>1.0142495261632684E-2</v>
      </c>
      <c r="H62" s="34">
        <f t="shared" si="2"/>
        <v>8.9321810993458466E-3</v>
      </c>
      <c r="I62" s="7">
        <f t="shared" si="4"/>
        <v>0.61611826840194506</v>
      </c>
      <c r="J62" s="8">
        <f t="shared" si="4"/>
        <v>0.30726967583898596</v>
      </c>
      <c r="K62" s="2">
        <f t="shared" si="3"/>
        <v>0.3088485925629591</v>
      </c>
    </row>
    <row r="63" spans="1:11">
      <c r="A63" s="28"/>
      <c r="B63" s="14" t="s">
        <v>89</v>
      </c>
      <c r="C63" s="29" t="s">
        <v>19</v>
      </c>
      <c r="D63" s="15">
        <v>140744.8858537474</v>
      </c>
      <c r="E63" s="16">
        <v>299222</v>
      </c>
      <c r="F63" s="9">
        <f t="shared" si="1"/>
        <v>42113966234.930008</v>
      </c>
      <c r="G63" s="32">
        <f t="shared" si="0"/>
        <v>1.0133283862702609E-2</v>
      </c>
      <c r="H63" s="34">
        <f t="shared" si="2"/>
        <v>9.1242877605226518E-3</v>
      </c>
      <c r="I63" s="7">
        <f t="shared" si="4"/>
        <v>0.62625155226464768</v>
      </c>
      <c r="J63" s="8">
        <f t="shared" si="4"/>
        <v>0.31639396359950861</v>
      </c>
      <c r="K63" s="2">
        <f t="shared" si="3"/>
        <v>0.30985758866513907</v>
      </c>
    </row>
    <row r="64" spans="1:11">
      <c r="A64" s="28"/>
      <c r="B64" s="14" t="s">
        <v>90</v>
      </c>
      <c r="C64" s="29" t="s">
        <v>19</v>
      </c>
      <c r="D64" s="15">
        <v>145426.56917855341</v>
      </c>
      <c r="E64" s="16">
        <v>298583</v>
      </c>
      <c r="F64" s="9">
        <f t="shared" si="1"/>
        <v>43421901305.040016</v>
      </c>
      <c r="G64" s="32">
        <f t="shared" si="0"/>
        <v>1.011164384830438E-2</v>
      </c>
      <c r="H64" s="34">
        <f t="shared" si="2"/>
        <v>9.407661116648508E-3</v>
      </c>
      <c r="I64" s="7">
        <f t="shared" si="4"/>
        <v>0.63636319611295211</v>
      </c>
      <c r="J64" s="8">
        <f t="shared" si="4"/>
        <v>0.32580162471615715</v>
      </c>
      <c r="K64" s="2">
        <f t="shared" si="3"/>
        <v>0.31056157139679497</v>
      </c>
    </row>
    <row r="65" spans="1:11">
      <c r="A65" s="28"/>
      <c r="B65" s="14" t="s">
        <v>91</v>
      </c>
      <c r="C65" s="29" t="s">
        <v>19</v>
      </c>
      <c r="D65" s="15">
        <v>149183.19858396132</v>
      </c>
      <c r="E65" s="16">
        <v>298304</v>
      </c>
      <c r="F65" s="9">
        <f t="shared" si="1"/>
        <v>44501944870.389999</v>
      </c>
      <c r="G65" s="32">
        <f t="shared" si="0"/>
        <v>1.0102195391313603E-2</v>
      </c>
      <c r="H65" s="34">
        <f t="shared" si="2"/>
        <v>9.6416601712419579E-3</v>
      </c>
      <c r="I65" s="7">
        <f t="shared" si="4"/>
        <v>0.64646539150426574</v>
      </c>
      <c r="J65" s="8">
        <f t="shared" si="4"/>
        <v>0.33544328488739911</v>
      </c>
      <c r="K65" s="2">
        <f t="shared" si="3"/>
        <v>0.31102210661686663</v>
      </c>
    </row>
    <row r="66" spans="1:11">
      <c r="A66" s="28"/>
      <c r="B66" s="14" t="s">
        <v>92</v>
      </c>
      <c r="C66" s="29" t="s">
        <v>19</v>
      </c>
      <c r="D66" s="15">
        <v>150000</v>
      </c>
      <c r="E66" s="16">
        <v>301747</v>
      </c>
      <c r="F66" s="9">
        <f t="shared" si="1"/>
        <v>45262050000</v>
      </c>
      <c r="G66" s="32">
        <f t="shared" ref="G66:G100" si="5">+E66/E$101</f>
        <v>1.0218794091740995E-2</v>
      </c>
      <c r="H66" s="34">
        <f t="shared" si="2"/>
        <v>9.8063423076173873E-3</v>
      </c>
      <c r="I66" s="7">
        <f t="shared" si="4"/>
        <v>0.65668418559600672</v>
      </c>
      <c r="J66" s="8">
        <f t="shared" si="4"/>
        <v>0.34524962719501651</v>
      </c>
      <c r="K66" s="2">
        <f t="shared" si="3"/>
        <v>0.31143455840099021</v>
      </c>
    </row>
    <row r="67" spans="1:11">
      <c r="A67" s="28"/>
      <c r="B67" s="14" t="s">
        <v>93</v>
      </c>
      <c r="C67" s="29" t="s">
        <v>19</v>
      </c>
      <c r="D67" s="15">
        <v>153744.11566292247</v>
      </c>
      <c r="E67" s="16">
        <v>295208</v>
      </c>
      <c r="F67" s="9">
        <f t="shared" ref="F67:F100" si="6">D67*E67</f>
        <v>45386492896.620018</v>
      </c>
      <c r="G67" s="32">
        <f t="shared" si="5"/>
        <v>9.9973479976095073E-3</v>
      </c>
      <c r="H67" s="34">
        <f t="shared" ref="H67:H100" si="7">F67/F$101</f>
        <v>9.8333037387060666E-3</v>
      </c>
      <c r="I67" s="7">
        <f t="shared" si="4"/>
        <v>0.66668153359361626</v>
      </c>
      <c r="J67" s="8">
        <f t="shared" si="4"/>
        <v>0.35508293093372256</v>
      </c>
      <c r="K67" s="2">
        <f t="shared" ref="K67:K100" si="8">I67-J67</f>
        <v>0.3115986026598937</v>
      </c>
    </row>
    <row r="68" spans="1:11">
      <c r="A68" s="28"/>
      <c r="B68" s="14" t="s">
        <v>94</v>
      </c>
      <c r="C68" s="29" t="s">
        <v>19</v>
      </c>
      <c r="D68" s="15">
        <v>158690.37132240622</v>
      </c>
      <c r="E68" s="16">
        <v>298524</v>
      </c>
      <c r="F68" s="9">
        <f t="shared" si="6"/>
        <v>47372884408.649994</v>
      </c>
      <c r="G68" s="32">
        <f t="shared" si="5"/>
        <v>1.0109645787507046E-2</v>
      </c>
      <c r="H68" s="34">
        <f t="shared" si="7"/>
        <v>1.0263669467255959E-2</v>
      </c>
      <c r="I68" s="7">
        <f t="shared" ref="I68:J100" si="9">+G68+I67</f>
        <v>0.67679117938112332</v>
      </c>
      <c r="J68" s="8">
        <f t="shared" si="9"/>
        <v>0.36534660040097855</v>
      </c>
      <c r="K68" s="2">
        <f t="shared" si="8"/>
        <v>0.31144457898014477</v>
      </c>
    </row>
    <row r="69" spans="1:11">
      <c r="A69" s="28"/>
      <c r="B69" s="14" t="s">
        <v>95</v>
      </c>
      <c r="C69" s="29" t="s">
        <v>19</v>
      </c>
      <c r="D69" s="15">
        <v>162400.17154912552</v>
      </c>
      <c r="E69" s="16">
        <v>298562</v>
      </c>
      <c r="F69" s="9">
        <f t="shared" si="6"/>
        <v>48486520018.050011</v>
      </c>
      <c r="G69" s="32">
        <f t="shared" si="5"/>
        <v>1.0110932674122278E-2</v>
      </c>
      <c r="H69" s="34">
        <f t="shared" si="7"/>
        <v>1.0504946475074399E-2</v>
      </c>
      <c r="I69" s="7">
        <f t="shared" si="9"/>
        <v>0.68690211205524565</v>
      </c>
      <c r="J69" s="8">
        <f t="shared" si="9"/>
        <v>0.37585154687605293</v>
      </c>
      <c r="K69" s="2">
        <f t="shared" si="8"/>
        <v>0.31105056517919272</v>
      </c>
    </row>
    <row r="70" spans="1:11">
      <c r="A70" s="28"/>
      <c r="B70" s="14" t="s">
        <v>96</v>
      </c>
      <c r="C70" s="29" t="s">
        <v>19</v>
      </c>
      <c r="D70" s="15">
        <v>166542.79015602788</v>
      </c>
      <c r="E70" s="16">
        <v>297383</v>
      </c>
      <c r="F70" s="9">
        <f t="shared" si="6"/>
        <v>49526994564.970039</v>
      </c>
      <c r="G70" s="32">
        <f t="shared" si="5"/>
        <v>1.0071005323612868E-2</v>
      </c>
      <c r="H70" s="34">
        <f t="shared" si="7"/>
        <v>1.0730372622795524E-2</v>
      </c>
      <c r="I70" s="7">
        <f t="shared" si="9"/>
        <v>0.69697311737885848</v>
      </c>
      <c r="J70" s="8">
        <f t="shared" si="9"/>
        <v>0.38658191949884846</v>
      </c>
      <c r="K70" s="2">
        <f t="shared" si="8"/>
        <v>0.31039119788001002</v>
      </c>
    </row>
    <row r="71" spans="1:11">
      <c r="A71" s="28"/>
      <c r="B71" s="14" t="s">
        <v>97</v>
      </c>
      <c r="C71" s="29" t="s">
        <v>19</v>
      </c>
      <c r="D71" s="15">
        <v>171203.69809401885</v>
      </c>
      <c r="E71" s="16">
        <v>298408</v>
      </c>
      <c r="F71" s="9">
        <f t="shared" si="6"/>
        <v>51088553140.839981</v>
      </c>
      <c r="G71" s="32">
        <f t="shared" si="5"/>
        <v>1.0105717396786867E-2</v>
      </c>
      <c r="H71" s="34">
        <f t="shared" si="7"/>
        <v>1.1068695299925175E-2</v>
      </c>
      <c r="I71" s="7">
        <f t="shared" si="9"/>
        <v>0.70707883477564537</v>
      </c>
      <c r="J71" s="8">
        <f t="shared" si="9"/>
        <v>0.39765061479877362</v>
      </c>
      <c r="K71" s="2">
        <f t="shared" si="8"/>
        <v>0.30942821997687175</v>
      </c>
    </row>
    <row r="72" spans="1:11">
      <c r="A72" s="28"/>
      <c r="B72" s="14" t="s">
        <v>98</v>
      </c>
      <c r="C72" s="29" t="s">
        <v>19</v>
      </c>
      <c r="D72" s="15">
        <v>174822.77071992125</v>
      </c>
      <c r="E72" s="16">
        <v>297852</v>
      </c>
      <c r="F72" s="9">
        <f t="shared" si="6"/>
        <v>52071311904.469986</v>
      </c>
      <c r="G72" s="32">
        <f t="shared" si="5"/>
        <v>1.0086888213679802E-2</v>
      </c>
      <c r="H72" s="34">
        <f t="shared" si="7"/>
        <v>1.128161691620121E-2</v>
      </c>
      <c r="I72" s="7">
        <f t="shared" si="9"/>
        <v>0.71716572298932513</v>
      </c>
      <c r="J72" s="8">
        <f t="shared" si="9"/>
        <v>0.40893223171497484</v>
      </c>
      <c r="K72" s="2">
        <f t="shared" si="8"/>
        <v>0.30823349127435029</v>
      </c>
    </row>
    <row r="73" spans="1:11">
      <c r="A73" s="28"/>
      <c r="B73" s="14" t="s">
        <v>99</v>
      </c>
      <c r="C73" s="29" t="s">
        <v>19</v>
      </c>
      <c r="D73" s="15">
        <v>177702.37919976196</v>
      </c>
      <c r="E73" s="16">
        <v>297374</v>
      </c>
      <c r="F73" s="9">
        <f t="shared" si="6"/>
        <v>52844067312.150009</v>
      </c>
      <c r="G73" s="32">
        <f t="shared" si="5"/>
        <v>1.0070700534677682E-2</v>
      </c>
      <c r="H73" s="34">
        <f t="shared" si="7"/>
        <v>1.1449039824526677E-2</v>
      </c>
      <c r="I73" s="7">
        <f t="shared" si="9"/>
        <v>0.72723642352400286</v>
      </c>
      <c r="J73" s="8">
        <f t="shared" si="9"/>
        <v>0.4203812715395015</v>
      </c>
      <c r="K73" s="2">
        <f t="shared" si="8"/>
        <v>0.30685515198450136</v>
      </c>
    </row>
    <row r="74" spans="1:11">
      <c r="A74" s="28"/>
      <c r="B74" s="14" t="s">
        <v>100</v>
      </c>
      <c r="C74" s="29" t="s">
        <v>19</v>
      </c>
      <c r="D74" s="15">
        <v>181600.07345260505</v>
      </c>
      <c r="E74" s="16">
        <v>299345</v>
      </c>
      <c r="F74" s="9">
        <f t="shared" si="6"/>
        <v>54361073987.670059</v>
      </c>
      <c r="G74" s="32">
        <f t="shared" si="5"/>
        <v>1.0137449311483488E-2</v>
      </c>
      <c r="H74" s="34">
        <f t="shared" si="7"/>
        <v>1.1777710018278181E-2</v>
      </c>
      <c r="I74" s="7">
        <f t="shared" si="9"/>
        <v>0.73737387283548639</v>
      </c>
      <c r="J74" s="8">
        <f t="shared" si="9"/>
        <v>0.43215898155777965</v>
      </c>
      <c r="K74" s="2">
        <f t="shared" si="8"/>
        <v>0.30521489127770673</v>
      </c>
    </row>
    <row r="75" spans="1:11">
      <c r="A75" s="28"/>
      <c r="B75" s="14" t="s">
        <v>101</v>
      </c>
      <c r="C75" s="29" t="s">
        <v>19</v>
      </c>
      <c r="D75" s="15">
        <v>186717.23140982536</v>
      </c>
      <c r="E75" s="16">
        <v>298349</v>
      </c>
      <c r="F75" s="9">
        <f t="shared" si="6"/>
        <v>55706899273.889984</v>
      </c>
      <c r="G75" s="32">
        <f t="shared" si="5"/>
        <v>1.0103719335989535E-2</v>
      </c>
      <c r="H75" s="34">
        <f t="shared" si="7"/>
        <v>1.206929255691529E-2</v>
      </c>
      <c r="I75" s="7">
        <f t="shared" si="9"/>
        <v>0.74747759217147591</v>
      </c>
      <c r="J75" s="8">
        <f t="shared" si="9"/>
        <v>0.44422827411469495</v>
      </c>
      <c r="K75" s="2">
        <f t="shared" si="8"/>
        <v>0.30324931805678096</v>
      </c>
    </row>
    <row r="76" spans="1:11">
      <c r="A76" s="28"/>
      <c r="B76" s="14" t="s">
        <v>102</v>
      </c>
      <c r="C76" s="29" t="s">
        <v>19</v>
      </c>
      <c r="D76" s="15">
        <v>191646.72675588337</v>
      </c>
      <c r="E76" s="16">
        <v>298337</v>
      </c>
      <c r="F76" s="9">
        <f t="shared" si="6"/>
        <v>57175309520.169975</v>
      </c>
      <c r="G76" s="32">
        <f t="shared" si="5"/>
        <v>1.010331295074262E-2</v>
      </c>
      <c r="H76" s="34">
        <f t="shared" si="7"/>
        <v>1.2387433991583723E-2</v>
      </c>
      <c r="I76" s="7">
        <f t="shared" si="9"/>
        <v>0.75758090512221854</v>
      </c>
      <c r="J76" s="8">
        <f t="shared" si="9"/>
        <v>0.45661570810627866</v>
      </c>
      <c r="K76" s="2">
        <f t="shared" si="8"/>
        <v>0.30096519701593988</v>
      </c>
    </row>
    <row r="77" spans="1:11">
      <c r="A77" s="28"/>
      <c r="B77" s="14" t="s">
        <v>103</v>
      </c>
      <c r="C77" s="29" t="s">
        <v>19</v>
      </c>
      <c r="D77" s="15">
        <v>197721.14440474194</v>
      </c>
      <c r="E77" s="16">
        <v>298190</v>
      </c>
      <c r="F77" s="9">
        <f t="shared" si="6"/>
        <v>58958468050.049995</v>
      </c>
      <c r="G77" s="32">
        <f t="shared" si="5"/>
        <v>1.0098334731467909E-2</v>
      </c>
      <c r="H77" s="34">
        <f t="shared" si="7"/>
        <v>1.2773767861409576E-2</v>
      </c>
      <c r="I77" s="7">
        <f t="shared" si="9"/>
        <v>0.76767923985368647</v>
      </c>
      <c r="J77" s="8">
        <f t="shared" si="9"/>
        <v>0.46938947596768826</v>
      </c>
      <c r="K77" s="2">
        <f t="shared" si="8"/>
        <v>0.2982897638859982</v>
      </c>
    </row>
    <row r="78" spans="1:11">
      <c r="A78" s="28"/>
      <c r="B78" s="14" t="s">
        <v>104</v>
      </c>
      <c r="C78" s="29" t="s">
        <v>19</v>
      </c>
      <c r="D78" s="15">
        <v>200000</v>
      </c>
      <c r="E78" s="16">
        <v>298889</v>
      </c>
      <c r="F78" s="9">
        <f t="shared" si="6"/>
        <v>59777800000</v>
      </c>
      <c r="G78" s="32">
        <f t="shared" si="5"/>
        <v>1.0122006672100715E-2</v>
      </c>
      <c r="H78" s="34">
        <f t="shared" si="7"/>
        <v>1.2951281906062378E-2</v>
      </c>
      <c r="I78" s="7">
        <f t="shared" si="9"/>
        <v>0.77780124652578719</v>
      </c>
      <c r="J78" s="8">
        <f t="shared" si="9"/>
        <v>0.48234075787375064</v>
      </c>
      <c r="K78" s="2">
        <f t="shared" si="8"/>
        <v>0.29546048865203656</v>
      </c>
    </row>
    <row r="79" spans="1:11">
      <c r="A79" s="28"/>
      <c r="B79" s="14" t="s">
        <v>105</v>
      </c>
      <c r="C79" s="29" t="s">
        <v>19</v>
      </c>
      <c r="D79" s="15">
        <v>202012.36429791138</v>
      </c>
      <c r="E79" s="16">
        <v>296907</v>
      </c>
      <c r="F79" s="9">
        <f t="shared" si="6"/>
        <v>59978885046.599976</v>
      </c>
      <c r="G79" s="32">
        <f t="shared" si="5"/>
        <v>1.0054885375485236E-2</v>
      </c>
      <c r="H79" s="34">
        <f t="shared" si="7"/>
        <v>1.2994848399402882E-2</v>
      </c>
      <c r="I79" s="7">
        <f t="shared" si="9"/>
        <v>0.78785613190127246</v>
      </c>
      <c r="J79" s="8">
        <f t="shared" si="9"/>
        <v>0.49533560627315354</v>
      </c>
      <c r="K79" s="2">
        <f t="shared" si="8"/>
        <v>0.29252052562811892</v>
      </c>
    </row>
    <row r="80" spans="1:11">
      <c r="A80" s="28"/>
      <c r="B80" s="14" t="s">
        <v>106</v>
      </c>
      <c r="C80" s="29" t="s">
        <v>19</v>
      </c>
      <c r="D80" s="15">
        <v>207175.47284855568</v>
      </c>
      <c r="E80" s="16">
        <v>301788</v>
      </c>
      <c r="F80" s="9">
        <f t="shared" si="6"/>
        <v>62523071600.01992</v>
      </c>
      <c r="G80" s="32">
        <f t="shared" si="5"/>
        <v>1.0220182574667955E-2</v>
      </c>
      <c r="H80" s="34">
        <f t="shared" si="7"/>
        <v>1.3546064357082071E-2</v>
      </c>
      <c r="I80" s="7">
        <f t="shared" si="9"/>
        <v>0.79807631447594041</v>
      </c>
      <c r="J80" s="8">
        <f t="shared" si="9"/>
        <v>0.50888167063023559</v>
      </c>
      <c r="K80" s="2">
        <f t="shared" si="8"/>
        <v>0.28919464384570481</v>
      </c>
    </row>
    <row r="81" spans="1:11">
      <c r="A81" s="28"/>
      <c r="B81" s="14" t="s">
        <v>107</v>
      </c>
      <c r="C81" s="29" t="s">
        <v>19</v>
      </c>
      <c r="D81" s="15">
        <v>212979.27481653864</v>
      </c>
      <c r="E81" s="16">
        <v>295430</v>
      </c>
      <c r="F81" s="9">
        <f t="shared" si="6"/>
        <v>62920467159.050011</v>
      </c>
      <c r="G81" s="32">
        <f t="shared" si="5"/>
        <v>1.0004866124677436E-2</v>
      </c>
      <c r="H81" s="34">
        <f t="shared" si="7"/>
        <v>1.3632162907266519E-2</v>
      </c>
      <c r="I81" s="7">
        <f t="shared" si="9"/>
        <v>0.80808118060061784</v>
      </c>
      <c r="J81" s="8">
        <f t="shared" si="9"/>
        <v>0.52251383353750214</v>
      </c>
      <c r="K81" s="2">
        <f t="shared" si="8"/>
        <v>0.28556734706311571</v>
      </c>
    </row>
    <row r="82" spans="1:11">
      <c r="A82" s="28"/>
      <c r="B82" s="14" t="s">
        <v>108</v>
      </c>
      <c r="C82" s="29" t="s">
        <v>19</v>
      </c>
      <c r="D82" s="15">
        <v>219909.00716369506</v>
      </c>
      <c r="E82" s="16">
        <v>297193</v>
      </c>
      <c r="F82" s="9">
        <f t="shared" si="6"/>
        <v>65355417566.000023</v>
      </c>
      <c r="G82" s="32">
        <f t="shared" si="5"/>
        <v>1.0064570890536714E-2</v>
      </c>
      <c r="H82" s="34">
        <f t="shared" si="7"/>
        <v>1.4159712083510726E-2</v>
      </c>
      <c r="I82" s="7">
        <f t="shared" si="9"/>
        <v>0.81814575149115454</v>
      </c>
      <c r="J82" s="8">
        <f t="shared" si="9"/>
        <v>0.53667354562101288</v>
      </c>
      <c r="K82" s="2">
        <f t="shared" si="8"/>
        <v>0.28147220587014166</v>
      </c>
    </row>
    <row r="83" spans="1:11">
      <c r="A83" s="28"/>
      <c r="B83" s="14" t="s">
        <v>109</v>
      </c>
      <c r="C83" s="29" t="s">
        <v>19</v>
      </c>
      <c r="D83" s="15">
        <v>227051.32803653376</v>
      </c>
      <c r="E83" s="16">
        <v>301803</v>
      </c>
      <c r="F83" s="9">
        <f t="shared" si="6"/>
        <v>68524771955.409996</v>
      </c>
      <c r="G83" s="32">
        <f t="shared" si="5"/>
        <v>1.0220690556226599E-2</v>
      </c>
      <c r="H83" s="34">
        <f t="shared" si="7"/>
        <v>1.4846375061363118E-2</v>
      </c>
      <c r="I83" s="7">
        <f t="shared" si="9"/>
        <v>0.82836644204738119</v>
      </c>
      <c r="J83" s="8">
        <f t="shared" si="9"/>
        <v>0.55151992068237599</v>
      </c>
      <c r="K83" s="2">
        <f t="shared" si="8"/>
        <v>0.2768465213650052</v>
      </c>
    </row>
    <row r="84" spans="1:11">
      <c r="A84" s="28"/>
      <c r="B84" s="14" t="s">
        <v>110</v>
      </c>
      <c r="C84" s="29" t="s">
        <v>19</v>
      </c>
      <c r="D84" s="15">
        <v>231995.05210670683</v>
      </c>
      <c r="E84" s="16">
        <v>296401</v>
      </c>
      <c r="F84" s="9">
        <f t="shared" si="6"/>
        <v>68763565439.480011</v>
      </c>
      <c r="G84" s="32">
        <f t="shared" si="5"/>
        <v>1.0037749464240317E-2</v>
      </c>
      <c r="H84" s="34">
        <f t="shared" si="7"/>
        <v>1.4898111353590694E-2</v>
      </c>
      <c r="I84" s="7">
        <f t="shared" si="9"/>
        <v>0.83840419151162149</v>
      </c>
      <c r="J84" s="8">
        <f t="shared" si="9"/>
        <v>0.56641803203596663</v>
      </c>
      <c r="K84" s="2">
        <f t="shared" si="8"/>
        <v>0.27198615947565485</v>
      </c>
    </row>
    <row r="85" spans="1:11">
      <c r="A85" s="28"/>
      <c r="B85" s="14" t="s">
        <v>111</v>
      </c>
      <c r="C85" s="29" t="s">
        <v>19</v>
      </c>
      <c r="D85" s="15">
        <v>240166.25449296858</v>
      </c>
      <c r="E85" s="16">
        <v>297881</v>
      </c>
      <c r="F85" s="9">
        <f t="shared" si="6"/>
        <v>71540964054.61998</v>
      </c>
      <c r="G85" s="32">
        <f t="shared" si="5"/>
        <v>1.0087870311359846E-2</v>
      </c>
      <c r="H85" s="34">
        <f t="shared" si="7"/>
        <v>1.5499854348986727E-2</v>
      </c>
      <c r="I85" s="7">
        <f t="shared" si="9"/>
        <v>0.84849206182298131</v>
      </c>
      <c r="J85" s="8">
        <f t="shared" si="9"/>
        <v>0.58191788638495334</v>
      </c>
      <c r="K85" s="2">
        <f t="shared" si="8"/>
        <v>0.26657417543802797</v>
      </c>
    </row>
    <row r="86" spans="1:11">
      <c r="A86" s="28"/>
      <c r="B86" s="14" t="s">
        <v>112</v>
      </c>
      <c r="C86" s="29" t="s">
        <v>19</v>
      </c>
      <c r="D86" s="15">
        <v>249056.50483178109</v>
      </c>
      <c r="E86" s="16">
        <v>298064</v>
      </c>
      <c r="F86" s="9">
        <f t="shared" si="6"/>
        <v>74234778056.179993</v>
      </c>
      <c r="G86" s="32">
        <f t="shared" si="5"/>
        <v>1.0094067686375302E-2</v>
      </c>
      <c r="H86" s="34">
        <f t="shared" si="7"/>
        <v>1.6083488148435715E-2</v>
      </c>
      <c r="I86" s="7">
        <f t="shared" si="9"/>
        <v>0.85858612950935664</v>
      </c>
      <c r="J86" s="8">
        <f t="shared" si="9"/>
        <v>0.59800137453338909</v>
      </c>
      <c r="K86" s="2">
        <f t="shared" si="8"/>
        <v>0.26058475497596756</v>
      </c>
    </row>
    <row r="87" spans="1:11">
      <c r="A87" s="28"/>
      <c r="B87" s="14" t="s">
        <v>113</v>
      </c>
      <c r="C87" s="29" t="s">
        <v>19</v>
      </c>
      <c r="D87" s="15">
        <v>258037.05751620943</v>
      </c>
      <c r="E87" s="16">
        <v>298282</v>
      </c>
      <c r="F87" s="9">
        <f t="shared" si="6"/>
        <v>76967809590.049988</v>
      </c>
      <c r="G87" s="32">
        <f t="shared" si="5"/>
        <v>1.0101450351694258E-2</v>
      </c>
      <c r="H87" s="34">
        <f t="shared" si="7"/>
        <v>1.6675618702810556E-2</v>
      </c>
      <c r="I87" s="7">
        <f t="shared" si="9"/>
        <v>0.86868757986105094</v>
      </c>
      <c r="J87" s="8">
        <f t="shared" si="9"/>
        <v>0.61467699323619962</v>
      </c>
      <c r="K87" s="2">
        <f t="shared" si="8"/>
        <v>0.25401058662485132</v>
      </c>
    </row>
    <row r="88" spans="1:11">
      <c r="A88" s="28"/>
      <c r="B88" s="14" t="s">
        <v>114</v>
      </c>
      <c r="C88" s="29" t="s">
        <v>19</v>
      </c>
      <c r="D88" s="15">
        <v>269230.09244234656</v>
      </c>
      <c r="E88" s="16">
        <v>297857</v>
      </c>
      <c r="F88" s="9">
        <f t="shared" si="6"/>
        <v>80192067644.600021</v>
      </c>
      <c r="G88" s="32">
        <f t="shared" si="5"/>
        <v>1.0087057540866015E-2</v>
      </c>
      <c r="H88" s="34">
        <f t="shared" si="7"/>
        <v>1.7374176946880589E-2</v>
      </c>
      <c r="I88" s="7">
        <f t="shared" si="9"/>
        <v>0.87877463740191697</v>
      </c>
      <c r="J88" s="8">
        <f t="shared" si="9"/>
        <v>0.63205117018308021</v>
      </c>
      <c r="K88" s="2">
        <f t="shared" si="8"/>
        <v>0.24672346721883676</v>
      </c>
    </row>
    <row r="89" spans="1:11">
      <c r="A89" s="28"/>
      <c r="B89" s="14" t="s">
        <v>115</v>
      </c>
      <c r="C89" s="29" t="s">
        <v>19</v>
      </c>
      <c r="D89" s="15">
        <v>280608.34995525639</v>
      </c>
      <c r="E89" s="16">
        <v>298143</v>
      </c>
      <c r="F89" s="9">
        <f t="shared" si="6"/>
        <v>83661415280.710007</v>
      </c>
      <c r="G89" s="32">
        <f t="shared" si="5"/>
        <v>1.0096743055917493E-2</v>
      </c>
      <c r="H89" s="34">
        <f t="shared" si="7"/>
        <v>1.8125835577097689E-2</v>
      </c>
      <c r="I89" s="7">
        <f t="shared" si="9"/>
        <v>0.88887138045783443</v>
      </c>
      <c r="J89" s="8">
        <f t="shared" si="9"/>
        <v>0.6501770057601779</v>
      </c>
      <c r="K89" s="2">
        <f t="shared" si="8"/>
        <v>0.23869437469765653</v>
      </c>
    </row>
    <row r="90" spans="1:11">
      <c r="A90" s="28"/>
      <c r="B90" s="14" t="s">
        <v>116</v>
      </c>
      <c r="C90" s="29" t="s">
        <v>19</v>
      </c>
      <c r="D90" s="15">
        <v>296531.90759537229</v>
      </c>
      <c r="E90" s="16">
        <v>300375</v>
      </c>
      <c r="F90" s="9">
        <f t="shared" si="6"/>
        <v>89070771743.959946</v>
      </c>
      <c r="G90" s="32">
        <f t="shared" si="5"/>
        <v>1.0172330711843702E-2</v>
      </c>
      <c r="H90" s="34">
        <f t="shared" si="7"/>
        <v>1.9297810800105737E-2</v>
      </c>
      <c r="I90" s="7">
        <f t="shared" si="9"/>
        <v>0.89904371116967807</v>
      </c>
      <c r="J90" s="8">
        <f t="shared" si="9"/>
        <v>0.66947481656028363</v>
      </c>
      <c r="K90" s="2">
        <f t="shared" si="8"/>
        <v>0.22956889460939445</v>
      </c>
    </row>
    <row r="91" spans="1:11">
      <c r="A91" s="28"/>
      <c r="B91" s="14" t="s">
        <v>117</v>
      </c>
      <c r="C91" s="29" t="s">
        <v>19</v>
      </c>
      <c r="D91" s="15">
        <v>302874.42340832931</v>
      </c>
      <c r="E91" s="16">
        <v>296861</v>
      </c>
      <c r="F91" s="9">
        <f t="shared" si="6"/>
        <v>89911604207.420044</v>
      </c>
      <c r="G91" s="32">
        <f t="shared" si="5"/>
        <v>1.0053327565372062E-2</v>
      </c>
      <c r="H91" s="34">
        <f t="shared" si="7"/>
        <v>1.9479983082626013E-2</v>
      </c>
      <c r="I91" s="7">
        <f t="shared" si="9"/>
        <v>0.9090970387350501</v>
      </c>
      <c r="J91" s="8">
        <f t="shared" si="9"/>
        <v>0.68895479964290962</v>
      </c>
      <c r="K91" s="2">
        <f t="shared" si="8"/>
        <v>0.22014223909214048</v>
      </c>
    </row>
    <row r="92" spans="1:11">
      <c r="A92" s="28"/>
      <c r="B92" s="14" t="s">
        <v>118</v>
      </c>
      <c r="C92" s="29" t="s">
        <v>19</v>
      </c>
      <c r="D92" s="15">
        <v>320514.44240588509</v>
      </c>
      <c r="E92" s="16">
        <v>295941</v>
      </c>
      <c r="F92" s="9">
        <f t="shared" si="6"/>
        <v>94853364600.040039</v>
      </c>
      <c r="G92" s="32">
        <f t="shared" si="5"/>
        <v>1.0022171363108571E-2</v>
      </c>
      <c r="H92" s="34">
        <f t="shared" si="7"/>
        <v>2.0550650319577441E-2</v>
      </c>
      <c r="I92" s="7">
        <f t="shared" si="9"/>
        <v>0.91911921009815867</v>
      </c>
      <c r="J92" s="8">
        <f t="shared" si="9"/>
        <v>0.7095054499624871</v>
      </c>
      <c r="K92" s="2">
        <f t="shared" si="8"/>
        <v>0.20961376013567157</v>
      </c>
    </row>
    <row r="93" spans="1:11">
      <c r="A93" s="28"/>
      <c r="B93" s="14" t="s">
        <v>119</v>
      </c>
      <c r="C93" s="29" t="s">
        <v>19</v>
      </c>
      <c r="D93" s="15">
        <v>340458.37244667648</v>
      </c>
      <c r="E93" s="16">
        <v>300383</v>
      </c>
      <c r="F93" s="9">
        <f t="shared" si="6"/>
        <v>102267907290.65002</v>
      </c>
      <c r="G93" s="32">
        <f t="shared" si="5"/>
        <v>1.0172601635341645E-2</v>
      </c>
      <c r="H93" s="34">
        <f t="shared" si="7"/>
        <v>2.2157063278746635E-2</v>
      </c>
      <c r="I93" s="7">
        <f t="shared" si="9"/>
        <v>0.92929181173350028</v>
      </c>
      <c r="J93" s="8">
        <f t="shared" si="9"/>
        <v>0.73166251324123377</v>
      </c>
      <c r="K93" s="2">
        <f t="shared" si="8"/>
        <v>0.19762929849226651</v>
      </c>
    </row>
    <row r="94" spans="1:11">
      <c r="A94" s="28"/>
      <c r="B94" s="14" t="s">
        <v>120</v>
      </c>
      <c r="C94" s="29" t="s">
        <v>19</v>
      </c>
      <c r="D94" s="15">
        <v>362484.2960564575</v>
      </c>
      <c r="E94" s="16">
        <v>298739</v>
      </c>
      <c r="F94" s="9">
        <f t="shared" si="6"/>
        <v>108288196119.61006</v>
      </c>
      <c r="G94" s="32">
        <f t="shared" si="5"/>
        <v>1.0116926856514276E-2</v>
      </c>
      <c r="H94" s="34">
        <f t="shared" si="7"/>
        <v>2.3461401306907249E-2</v>
      </c>
      <c r="I94" s="7">
        <f t="shared" si="9"/>
        <v>0.93940873859001461</v>
      </c>
      <c r="J94" s="8">
        <f t="shared" si="9"/>
        <v>0.75512391454814098</v>
      </c>
      <c r="K94" s="2">
        <f t="shared" si="8"/>
        <v>0.18428482404187363</v>
      </c>
    </row>
    <row r="95" spans="1:11">
      <c r="A95" s="28"/>
      <c r="B95" s="14" t="s">
        <v>121</v>
      </c>
      <c r="C95" s="29" t="s">
        <v>19</v>
      </c>
      <c r="D95" s="15">
        <v>392516.10078291578</v>
      </c>
      <c r="E95" s="16">
        <v>297746</v>
      </c>
      <c r="F95" s="9">
        <f t="shared" si="6"/>
        <v>116870098943.71004</v>
      </c>
      <c r="G95" s="32">
        <f t="shared" si="5"/>
        <v>1.0083298477332052E-2</v>
      </c>
      <c r="H95" s="34">
        <f t="shared" si="7"/>
        <v>2.5320731070889054E-2</v>
      </c>
      <c r="I95" s="7">
        <f t="shared" si="9"/>
        <v>0.94949203706734664</v>
      </c>
      <c r="J95" s="8">
        <f t="shared" si="9"/>
        <v>0.78044464561903004</v>
      </c>
      <c r="K95" s="2">
        <f t="shared" si="8"/>
        <v>0.1690473914483166</v>
      </c>
    </row>
    <row r="96" spans="1:11">
      <c r="A96" s="28"/>
      <c r="B96" s="14" t="s">
        <v>122</v>
      </c>
      <c r="C96" s="29" t="s">
        <v>19</v>
      </c>
      <c r="D96" s="15">
        <v>419277.42199647037</v>
      </c>
      <c r="E96" s="16">
        <v>298076</v>
      </c>
      <c r="F96" s="9">
        <f t="shared" si="6"/>
        <v>124976536839.0199</v>
      </c>
      <c r="G96" s="32">
        <f t="shared" si="5"/>
        <v>1.0094474071622216E-2</v>
      </c>
      <c r="H96" s="34">
        <f t="shared" si="7"/>
        <v>2.7077048005204888E-2</v>
      </c>
      <c r="I96" s="7">
        <f t="shared" si="9"/>
        <v>0.95958651113896887</v>
      </c>
      <c r="J96" s="8">
        <f t="shared" si="9"/>
        <v>0.80752169362423498</v>
      </c>
      <c r="K96" s="2">
        <f t="shared" si="8"/>
        <v>0.15206481751473389</v>
      </c>
    </row>
    <row r="97" spans="1:11">
      <c r="A97" s="28"/>
      <c r="B97" s="14" t="s">
        <v>123</v>
      </c>
      <c r="C97" s="29" t="s">
        <v>19</v>
      </c>
      <c r="D97" s="15">
        <v>476084.00598586793</v>
      </c>
      <c r="E97" s="16">
        <v>298752</v>
      </c>
      <c r="F97" s="9">
        <f t="shared" si="6"/>
        <v>142231048956.29001</v>
      </c>
      <c r="G97" s="32">
        <f t="shared" si="5"/>
        <v>1.0117367107198435E-2</v>
      </c>
      <c r="H97" s="34">
        <f t="shared" si="7"/>
        <v>3.0815359729328799E-2</v>
      </c>
      <c r="I97" s="7">
        <f t="shared" si="9"/>
        <v>0.96970387824616733</v>
      </c>
      <c r="J97" s="8">
        <f t="shared" si="9"/>
        <v>0.83833705335356379</v>
      </c>
      <c r="K97" s="2">
        <f t="shared" si="8"/>
        <v>0.13136682489260354</v>
      </c>
    </row>
    <row r="98" spans="1:11">
      <c r="A98" s="28"/>
      <c r="B98" s="14" t="s">
        <v>124</v>
      </c>
      <c r="C98" s="29" t="s">
        <v>19</v>
      </c>
      <c r="D98" s="15">
        <v>544224.46287790069</v>
      </c>
      <c r="E98" s="16">
        <v>297995</v>
      </c>
      <c r="F98" s="9">
        <f t="shared" si="6"/>
        <v>162176168815.30002</v>
      </c>
      <c r="G98" s="32">
        <f t="shared" si="5"/>
        <v>1.009173097120554E-2</v>
      </c>
      <c r="H98" s="34">
        <f t="shared" si="7"/>
        <v>3.5136610594102037E-2</v>
      </c>
      <c r="I98" s="7">
        <f t="shared" si="9"/>
        <v>0.97979560921737285</v>
      </c>
      <c r="J98" s="8">
        <f t="shared" si="9"/>
        <v>0.87347366394766579</v>
      </c>
      <c r="K98" s="2">
        <f t="shared" si="8"/>
        <v>0.10632194526970706</v>
      </c>
    </row>
    <row r="99" spans="1:11">
      <c r="A99" s="28"/>
      <c r="B99" s="14" t="s">
        <v>125</v>
      </c>
      <c r="C99" s="29" t="s">
        <v>19</v>
      </c>
      <c r="D99" s="15">
        <v>679969.95993118058</v>
      </c>
      <c r="E99" s="16">
        <v>297882</v>
      </c>
      <c r="F99" s="9">
        <f t="shared" si="6"/>
        <v>202550811604.21994</v>
      </c>
      <c r="G99" s="32">
        <f t="shared" si="5"/>
        <v>1.0087904176797089E-2</v>
      </c>
      <c r="H99" s="34">
        <f t="shared" si="7"/>
        <v>4.3884061664831817E-2</v>
      </c>
      <c r="I99" s="7">
        <f t="shared" si="9"/>
        <v>0.98988351339416991</v>
      </c>
      <c r="J99" s="8">
        <f t="shared" si="9"/>
        <v>0.91735772561249762</v>
      </c>
      <c r="K99" s="2">
        <f t="shared" si="8"/>
        <v>7.2525787781672291E-2</v>
      </c>
    </row>
    <row r="100" spans="1:11" ht="13.5" thickBot="1">
      <c r="A100" s="30"/>
      <c r="B100" s="17" t="s">
        <v>126</v>
      </c>
      <c r="C100" s="31" t="s">
        <v>19</v>
      </c>
      <c r="D100" s="80">
        <f>+'Cálculo Gini'!M100</f>
        <v>1276898.592556389</v>
      </c>
      <c r="E100" s="19">
        <v>298726</v>
      </c>
      <c r="F100" s="9">
        <f t="shared" si="6"/>
        <v>381442808959.99988</v>
      </c>
      <c r="G100" s="32">
        <f t="shared" si="5"/>
        <v>1.0116486605830118E-2</v>
      </c>
      <c r="H100" s="34">
        <f t="shared" si="7"/>
        <v>8.2642274387502643E-2</v>
      </c>
      <c r="I100" s="7">
        <f t="shared" si="9"/>
        <v>1</v>
      </c>
      <c r="J100" s="8">
        <f t="shared" si="9"/>
        <v>1.0000000000000002</v>
      </c>
      <c r="K100" s="2">
        <f t="shared" si="8"/>
        <v>0</v>
      </c>
    </row>
    <row r="101" spans="1:11" ht="13.5" thickTop="1">
      <c r="E101" s="5">
        <f>SUM(E2:E100)</f>
        <v>29528631</v>
      </c>
      <c r="F101" s="5">
        <f>SUM(F2:F100)</f>
        <v>4615589439993.4688</v>
      </c>
    </row>
    <row r="102" spans="1:11" ht="13.5" thickBot="1"/>
    <row r="103" spans="1:11">
      <c r="I103" s="35" t="s">
        <v>3</v>
      </c>
      <c r="J103" s="36" t="s">
        <v>6</v>
      </c>
      <c r="K103" s="37">
        <f>SUM(K2:K100)</f>
        <v>21.422215052221649</v>
      </c>
    </row>
    <row r="104" spans="1:11">
      <c r="I104" s="38" t="s">
        <v>2</v>
      </c>
      <c r="J104" s="39" t="s">
        <v>5</v>
      </c>
      <c r="K104" s="40">
        <f>SUM(I2:I100)-1</f>
        <v>49.000379834744102</v>
      </c>
    </row>
    <row r="105" spans="1:11">
      <c r="I105" s="38"/>
      <c r="J105" s="39"/>
      <c r="K105" s="40"/>
    </row>
    <row r="106" spans="1:11" ht="13.5" thickBot="1">
      <c r="I106" s="84" t="s">
        <v>4</v>
      </c>
      <c r="J106" s="85"/>
      <c r="K106" s="86">
        <f>SUM(K103/K104)</f>
        <v>0.43718467335292083</v>
      </c>
    </row>
    <row r="110" spans="1:11">
      <c r="A110" s="1" t="s">
        <v>1</v>
      </c>
      <c r="B110" s="3" t="s">
        <v>9</v>
      </c>
    </row>
    <row r="111" spans="1:11">
      <c r="A111" s="1" t="s">
        <v>0</v>
      </c>
      <c r="B111" s="3" t="s">
        <v>10</v>
      </c>
    </row>
    <row r="112" spans="1:11">
      <c r="A112" s="1" t="s">
        <v>7</v>
      </c>
      <c r="B112" s="3" t="s">
        <v>11</v>
      </c>
    </row>
    <row r="113" spans="1:2">
      <c r="A113" s="1" t="s">
        <v>8</v>
      </c>
      <c r="B113" s="3" t="s">
        <v>12</v>
      </c>
    </row>
    <row r="114" spans="1:2">
      <c r="A114" s="1" t="s">
        <v>13</v>
      </c>
      <c r="B114" s="3" t="s">
        <v>14</v>
      </c>
    </row>
  </sheetData>
  <mergeCells count="3">
    <mergeCell ref="A1:C1"/>
    <mergeCell ref="A2:A100"/>
    <mergeCell ref="M2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Descriptivas ingreso</vt:lpstr>
      <vt:lpstr>Cálculo Gini</vt:lpstr>
      <vt:lpstr>Simulaciones Gini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</dc:creator>
  <cp:lastModifiedBy>usuario</cp:lastModifiedBy>
  <dcterms:created xsi:type="dcterms:W3CDTF">2014-06-14T20:06:50Z</dcterms:created>
  <dcterms:modified xsi:type="dcterms:W3CDTF">2024-09-03T18:58:32Z</dcterms:modified>
</cp:coreProperties>
</file>